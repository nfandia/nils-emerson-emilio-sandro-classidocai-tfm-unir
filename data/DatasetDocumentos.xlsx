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0" yWindow="0" windowWidth="19160" windowHeight="10200" tabRatio="600" firstSheet="0" activeTab="0" autoFilterDateGrouping="1"/>
  </bookViews>
  <sheets>
    <sheet xmlns:r="http://schemas.openxmlformats.org/officeDocument/2006/relationships" name="Dataset_Documentos" sheetId="1" state="visible" r:id="rId1"/>
    <sheet xmlns:r="http://schemas.openxmlformats.org/officeDocument/2006/relationships" name="Catalogos" sheetId="2" state="visible" r:id="rId2"/>
    <sheet xmlns:r="http://schemas.openxmlformats.org/officeDocument/2006/relationships" name="Diccionario_Campos" sheetId="3" state="visible" r:id="rId3"/>
    <sheet xmlns:r="http://schemas.openxmlformats.org/officeDocument/2006/relationships" name="Resumen" sheetId="4" state="visible" r:id="rId4"/>
  </sheets>
  <definedNames/>
  <calcPr calcId="191029" fullCalcOnLoad="1"/>
</workbook>
</file>

<file path=xl/styles.xml><?xml version="1.0" encoding="utf-8"?>
<styleSheet xmlns="http://schemas.openxmlformats.org/spreadsheetml/2006/main">
  <numFmts count="3">
    <numFmt numFmtId="164" formatCode="yyyy\-mm\-dd\ hh:mm:ss"/>
    <numFmt numFmtId="165" formatCode="yyyy-mm-dd h:mm:ss"/>
    <numFmt numFmtId="166" formatCode="YYYY-MM-DD HH:MM:SS"/>
  </numFmts>
  <fonts count="5">
    <font>
      <name val="Carlito"/>
      <sz val="11"/>
    </font>
    <font>
      <name val="Carlito"/>
      <b val="1"/>
      <color rgb="FFFFFFFF"/>
      <sz val="11"/>
    </font>
    <font>
      <name val="Carlito"/>
      <b val="1"/>
      <color rgb="FFFFFFFF"/>
      <sz val="14"/>
    </font>
    <font>
      <name val="Carlito"/>
      <b val="1"/>
      <sz val="11"/>
    </font>
    <font>
      <b val="1"/>
    </font>
  </fonts>
  <fills count="3">
    <fill>
      <patternFill/>
    </fill>
    <fill>
      <patternFill patternType="gray125"/>
    </fill>
    <fill>
      <patternFill patternType="solid">
        <fgColor rgb="FF1E3A8A"/>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1"/>
  </cellStyleXfs>
  <cellXfs count="8">
    <xf numFmtId="0" fontId="0" fillId="0" borderId="0" pivotButton="0" quotePrefix="0" xfId="0"/>
    <xf numFmtId="0" fontId="1" fillId="2" borderId="0" applyAlignment="1" pivotButton="0" quotePrefix="0" xfId="0">
      <alignment horizontal="center" vertical="center" wrapText="1"/>
    </xf>
    <xf numFmtId="0" fontId="3" fillId="0" borderId="2" applyAlignment="1" pivotButton="0" quotePrefix="0" xfId="0">
      <alignment horizontal="center" vertical="top"/>
    </xf>
    <xf numFmtId="164" fontId="0" fillId="0" borderId="0" pivotButton="0" quotePrefix="0" xfId="0"/>
    <xf numFmtId="0" fontId="2" fillId="2" borderId="1" applyAlignment="1" pivotButton="0" quotePrefix="0" xfId="0">
      <alignment horizontal="center"/>
    </xf>
    <xf numFmtId="0" fontId="0" fillId="0" borderId="1" pivotButton="0" quotePrefix="0" xfId="0"/>
    <xf numFmtId="0" fontId="4" fillId="0" borderId="3" applyAlignment="1" pivotButton="0" quotePrefix="0" xfId="0">
      <alignment horizontal="center" vertical="top"/>
    </xf>
    <xf numFmtId="166"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PE"/>
              <a:t>Documentos por categoría</a:t>
            </a:r>
          </a:p>
        </rich>
      </tx>
      <overlay val="0"/>
    </title>
    <plotArea>
      <layout/>
      <barChart>
        <barDir val="col"/>
        <grouping val="clustered"/>
        <varyColors val="0"/>
        <ser>
          <idx val="0"/>
          <order val="0"/>
          <tx>
            <v>Cantidad</v>
          </tx>
          <spPr>
            <a:ln xmlns:a="http://schemas.openxmlformats.org/drawingml/2006/main">
              <a:prstDash val="solid"/>
            </a:ln>
          </spPr>
          <invertIfNegative val="1"/>
          <cat>
            <strRef>
              <f>Resumen!$F$4:$F$11</f>
              <strCache>
                <ptCount val="8"/>
                <pt idx="0">
                  <v>Legal</v>
                </pt>
                <pt idx="1">
                  <v>Comercial</v>
                </pt>
                <pt idx="2">
                  <v>Técnico</v>
                </pt>
                <pt idx="3">
                  <v>Administrativo</v>
                </pt>
                <pt idx="4">
                  <v>Operaciones</v>
                </pt>
                <pt idx="5">
                  <v>Financiero</v>
                </pt>
                <pt idx="6">
                  <v>Soporte</v>
                </pt>
                <pt idx="7">
                  <v>Gestión Documental</v>
                </pt>
              </strCache>
            </strRef>
          </cat>
          <val>
            <numRef>
              <f>Resumen!$G$4:$G$11</f>
              <numCache>
                <formatCode>General</formatCode>
                <ptCount val="8"/>
                <pt idx="0">
                  <v>27</v>
                </pt>
                <pt idx="1">
                  <v>29</v>
                </pt>
                <pt idx="2">
                  <v>23</v>
                </pt>
                <pt idx="3">
                  <v>20</v>
                </pt>
                <pt idx="4">
                  <v>28</v>
                </pt>
                <pt idx="5">
                  <v>25</v>
                </pt>
                <pt idx="6">
                  <v>27</v>
                </pt>
                <pt idx="7">
                  <v>21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majorTickMark val="none"/>
        <minorTickMark val="none"/>
        <tickLblPos val="nextTo"/>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13</row>
      <rowOff>0</rowOff>
    </from>
    <to>
      <col>14</col>
      <colOff>0</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202"/>
  <sheetViews>
    <sheetView workbookViewId="0">
      <selection activeCell="A1" sqref="A1"/>
    </sheetView>
  </sheetViews>
  <sheetFormatPr baseColWidth="8" defaultRowHeight="15"/>
  <sheetData>
    <row r="1">
      <c r="A1" s="6" t="inlineStr">
        <is>
          <t>documento_id</t>
        </is>
      </c>
      <c r="B1" s="6" t="inlineStr">
        <is>
          <t>tipo_documento</t>
        </is>
      </c>
      <c r="C1" s="6" t="inlineStr">
        <is>
          <t>titulo_documento</t>
        </is>
      </c>
      <c r="D1" s="6" t="inlineStr">
        <is>
          <t>fecha_documento</t>
        </is>
      </c>
      <c r="E1" s="6" t="inlineStr">
        <is>
          <t>entidad_origen</t>
        </is>
      </c>
      <c r="F1" s="6" t="inlineStr">
        <is>
          <t>area_responsable</t>
        </is>
      </c>
      <c r="G1" s="6" t="inlineStr">
        <is>
          <t>categoria</t>
        </is>
      </c>
      <c r="H1" s="6" t="inlineStr">
        <is>
          <t>estado</t>
        </is>
      </c>
      <c r="I1" s="6" t="inlineStr">
        <is>
          <t>nivel_confidencialidad</t>
        </is>
      </c>
      <c r="J1" s="6" t="inlineStr">
        <is>
          <t>prioridad</t>
        </is>
      </c>
      <c r="K1" s="6" t="inlineStr">
        <is>
          <t>texto_documento</t>
        </is>
      </c>
      <c r="L1" s="6" t="inlineStr">
        <is>
          <t>resumen_documento</t>
        </is>
      </c>
      <c r="M1" s="6" t="inlineStr">
        <is>
          <t>palabras_clave</t>
        </is>
      </c>
      <c r="N1" s="6" t="inlineStr">
        <is>
          <t>pregunta_ejemplo</t>
        </is>
      </c>
      <c r="O1" s="6" t="inlineStr">
        <is>
          <t>respuesta_esperada</t>
        </is>
      </c>
      <c r="P1" s="6" t="inlineStr">
        <is>
          <t>fuente_archivo</t>
        </is>
      </c>
      <c r="Q1" s="6" t="inlineStr">
        <is>
          <t>observaciones</t>
        </is>
      </c>
    </row>
    <row r="2">
      <c r="A2" t="inlineStr">
        <is>
          <t>DOC-0001</t>
        </is>
      </c>
      <c r="B2" t="inlineStr">
        <is>
          <t>Acta</t>
        </is>
      </c>
      <c r="C2" t="inlineStr">
        <is>
          <t>Acta sobre arquitectura tecnológica - Luz del Sur</t>
        </is>
      </c>
      <c r="D2" s="7" t="n">
        <v>45779</v>
      </c>
      <c r="E2" t="inlineStr">
        <is>
          <t>Luz del Sur</t>
        </is>
      </c>
      <c r="F2" t="inlineStr">
        <is>
          <t>QA</t>
        </is>
      </c>
      <c r="G2" t="inlineStr">
        <is>
          <t>Técnico</t>
        </is>
      </c>
      <c r="H2" t="inlineStr">
        <is>
          <t>Archivado</t>
        </is>
      </c>
      <c r="I2" t="inlineStr">
        <is>
          <t>Público</t>
        </is>
      </c>
      <c r="J2" t="inlineStr">
        <is>
          <t>Alta</t>
        </is>
      </c>
      <c r="K2" t="inlineStr">
        <is>
          <t>El presente documento corresponde a un acta emitido por Luz del Sur, relacionado con arquitectura tecnológica, seguridad y integración de sistemas.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 t="inlineStr">
        <is>
          <t>Acta de Luz del Sur asociado a arquitectura tecnológica y gestionado por QA.</t>
        </is>
      </c>
      <c r="M2" t="inlineStr">
        <is>
          <t>Técnico, Acta, arquitectura tecnológica, seguridad, integración de sistemas</t>
        </is>
      </c>
      <c r="N2" t="inlineStr">
        <is>
          <t>¿Qué indica el documento DOC-0001 sobre arquitectura tecnológica?</t>
        </is>
      </c>
      <c r="O2" t="inlineStr">
        <is>
          <t>El documento DOC-0001 indica que se debe revisar arquitectura tecnológica, validar antecedentes y coordinar acciones con el área QA.</t>
        </is>
      </c>
      <c r="P2" t="inlineStr">
        <is>
          <t>DOC-0001_Acta.pdf</t>
        </is>
      </c>
      <c r="Q2" t="inlineStr">
        <is>
          <t>Registro sintético para entrenamiento inicial del agente documental.</t>
        </is>
      </c>
    </row>
    <row r="3">
      <c r="A3" t="inlineStr">
        <is>
          <t>DOC-0002</t>
        </is>
      </c>
      <c r="B3" t="inlineStr">
        <is>
          <t>Informe Técnico</t>
        </is>
      </c>
      <c r="C3" t="inlineStr">
        <is>
          <t>Informe Técnico sobre alcance comercial - Caja Cusco</t>
        </is>
      </c>
      <c r="D3" s="7" t="n">
        <v>46012</v>
      </c>
      <c r="E3" t="inlineStr">
        <is>
          <t>Caja Cusco</t>
        </is>
      </c>
      <c r="F3" t="inlineStr">
        <is>
          <t>TI</t>
        </is>
      </c>
      <c r="G3" t="inlineStr">
        <is>
          <t>Comercial</t>
        </is>
      </c>
      <c r="H3" t="inlineStr">
        <is>
          <t>Pendiente</t>
        </is>
      </c>
      <c r="I3" t="inlineStr">
        <is>
          <t>Interno</t>
        </is>
      </c>
      <c r="J3" t="inlineStr">
        <is>
          <t>Media</t>
        </is>
      </c>
      <c r="K3" t="inlineStr">
        <is>
          <t>El presente documento corresponde a un informe técnico emitido por Caja Cusco, relacionado con alcance comercial, renovación y servicio contratado. El área responsable es TI.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 t="inlineStr">
        <is>
          <t>Informe Técnico de Caja Cusco asociado a alcance comercial y gestionado por TI.</t>
        </is>
      </c>
      <c r="M3" t="inlineStr">
        <is>
          <t>Comercial, Informe Técnico, alcance comercial, renovación, servicio contratado</t>
        </is>
      </c>
      <c r="N3" t="inlineStr">
        <is>
          <t>¿Qué indica el documento DOC-0002 sobre alcance comercial?</t>
        </is>
      </c>
      <c r="O3" t="inlineStr">
        <is>
          <t>El documento DOC-0002 indica que se debe revisar alcance comercial, validar antecedentes y coordinar acciones con el área TI.</t>
        </is>
      </c>
      <c r="P3" t="inlineStr">
        <is>
          <t>DOC-0002_Informe_Técnico.pdf</t>
        </is>
      </c>
      <c r="Q3" t="inlineStr">
        <is>
          <t>Registro sintético para entrenamiento inicial del agente documental.</t>
        </is>
      </c>
    </row>
    <row r="4">
      <c r="A4" t="inlineStr">
        <is>
          <t>DOC-0003</t>
        </is>
      </c>
      <c r="B4" t="inlineStr">
        <is>
          <t>Memorando</t>
        </is>
      </c>
      <c r="C4" t="inlineStr">
        <is>
          <t>Memorando sobre archivo - APN</t>
        </is>
      </c>
      <c r="D4" s="7" t="n">
        <v>45931</v>
      </c>
      <c r="E4" t="inlineStr">
        <is>
          <t>APN</t>
        </is>
      </c>
      <c r="F4" t="inlineStr">
        <is>
          <t>Soporte</t>
        </is>
      </c>
      <c r="G4" t="inlineStr">
        <is>
          <t>Administrativo</t>
        </is>
      </c>
      <c r="H4" t="inlineStr">
        <is>
          <t>Observado</t>
        </is>
      </c>
      <c r="I4" t="inlineStr">
        <is>
          <t>Interno</t>
        </is>
      </c>
      <c r="J4" t="inlineStr">
        <is>
          <t>Media</t>
        </is>
      </c>
      <c r="K4" t="inlineStr">
        <is>
          <t>El presente documento corresponde a un memorando emitido por APN, relacionado con archivo, registro documentario y aprobación. El área responsable es Soporte.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 t="inlineStr">
        <is>
          <t>Memorando de APN asociado a archivo y gestionado por Soporte.</t>
        </is>
      </c>
      <c r="M4" t="inlineStr">
        <is>
          <t>Administrativo, Memorando, archivo, registro documentario, aprobación</t>
        </is>
      </c>
      <c r="N4" t="inlineStr">
        <is>
          <t>¿Qué indica el documento DOC-0003 sobre archivo?</t>
        </is>
      </c>
      <c r="O4" t="inlineStr">
        <is>
          <t>El documento DOC-0003 indica que se debe revisar archivo, validar antecedentes y coordinar acciones con el área Soporte.</t>
        </is>
      </c>
      <c r="P4" t="inlineStr">
        <is>
          <t>DOC-0003_Memorando.pdf</t>
        </is>
      </c>
      <c r="Q4" t="inlineStr">
        <is>
          <t>Registro sintético para entrenamiento inicial del agente documental.</t>
        </is>
      </c>
    </row>
    <row r="5">
      <c r="A5" t="inlineStr">
        <is>
          <t>DOC-0004</t>
        </is>
      </c>
      <c r="B5" t="inlineStr">
        <is>
          <t>Carta</t>
        </is>
      </c>
      <c r="C5" t="inlineStr">
        <is>
          <t>Carta sobre monto - Grupo Gloria</t>
        </is>
      </c>
      <c r="D5" s="7" t="n">
        <v>45956</v>
      </c>
      <c r="E5" t="inlineStr">
        <is>
          <t>Grupo Gloria</t>
        </is>
      </c>
      <c r="F5" t="inlineStr">
        <is>
          <t>Gestión Documental</t>
        </is>
      </c>
      <c r="G5" t="inlineStr">
        <is>
          <t>Financiero</t>
        </is>
      </c>
      <c r="H5" t="inlineStr">
        <is>
          <t>Vigente</t>
        </is>
      </c>
      <c r="I5" t="inlineStr">
        <is>
          <t>Interno</t>
        </is>
      </c>
      <c r="J5" t="inlineStr">
        <is>
          <t>Crítica</t>
        </is>
      </c>
      <c r="K5" t="inlineStr">
        <is>
          <t>El presente documento corresponde a un carta emitido por Grupo Gloria, relacionado con monto, validación contable y orden de compra. El área responsable es Gestión Documental.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 t="inlineStr">
        <is>
          <t>Carta de Grupo Gloria asociado a monto y gestionado por Gestión Documental.</t>
        </is>
      </c>
      <c r="M5" t="inlineStr">
        <is>
          <t>Financiero, Carta, monto, validación contable, orden de compra</t>
        </is>
      </c>
      <c r="N5" t="inlineStr">
        <is>
          <t>¿Qué indica el documento DOC-0004 sobre monto?</t>
        </is>
      </c>
      <c r="O5" t="inlineStr">
        <is>
          <t>El documento DOC-0004 indica que se debe revisar monto, validar antecedentes y coordinar acciones con el área Gestión Documental.</t>
        </is>
      </c>
      <c r="P5" t="inlineStr">
        <is>
          <t>DOC-0004_Carta.pdf</t>
        </is>
      </c>
      <c r="Q5" t="inlineStr">
        <is>
          <t>Registro sintético para entrenamiento inicial del agente documental.</t>
        </is>
      </c>
    </row>
    <row r="6">
      <c r="A6" t="inlineStr">
        <is>
          <t>DOC-0005</t>
        </is>
      </c>
      <c r="B6" t="inlineStr">
        <is>
          <t>Solicitud</t>
        </is>
      </c>
      <c r="C6" t="inlineStr">
        <is>
          <t>Solicitud sobre renovación - Osinergmin</t>
        </is>
      </c>
      <c r="D6" s="7" t="n">
        <v>45933</v>
      </c>
      <c r="E6" t="inlineStr">
        <is>
          <t>Osinergmin</t>
        </is>
      </c>
      <c r="F6" t="inlineStr">
        <is>
          <t>Gestión Documental</t>
        </is>
      </c>
      <c r="G6" t="inlineStr">
        <is>
          <t>Comercial</t>
        </is>
      </c>
      <c r="H6" t="inlineStr">
        <is>
          <t>Archivado</t>
        </is>
      </c>
      <c r="I6" t="inlineStr">
        <is>
          <t>Público</t>
        </is>
      </c>
      <c r="J6" t="inlineStr">
        <is>
          <t>Crítica</t>
        </is>
      </c>
      <c r="K6" t="inlineStr">
        <is>
          <t>El presente documento corresponde a un solicitud emitido por Osinergmin, relacionado con renovación, servicio contratado y condiciones de pago.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 t="inlineStr">
        <is>
          <t>Solicitud de Osinergmin asociado a renovación y gestionado por Gestión Documental.</t>
        </is>
      </c>
      <c r="M6" t="inlineStr">
        <is>
          <t>Comercial, Solicitud, renovación, servicio contratado, condiciones de pago</t>
        </is>
      </c>
      <c r="N6" t="inlineStr">
        <is>
          <t>¿Qué indica el documento DOC-0005 sobre renovación?</t>
        </is>
      </c>
      <c r="O6" t="inlineStr">
        <is>
          <t>El documento DOC-0005 indica que se debe revisar renovación, validar antecedentes y coordinar acciones con el área Gestión Documental.</t>
        </is>
      </c>
      <c r="P6" t="inlineStr">
        <is>
          <t>DOC-0005_Solicitud.pdf</t>
        </is>
      </c>
      <c r="Q6" t="inlineStr">
        <is>
          <t>Registro sintético para entrenamiento inicial del agente documental.</t>
        </is>
      </c>
    </row>
    <row r="7">
      <c r="A7" t="inlineStr">
        <is>
          <t>DOC-0006</t>
        </is>
      </c>
      <c r="B7" t="inlineStr">
        <is>
          <t>Resolución</t>
        </is>
      </c>
      <c r="C7" t="inlineStr">
        <is>
          <t>Resolución sobre cláusulas de servicio - COES</t>
        </is>
      </c>
      <c r="D7" s="7" t="n">
        <v>45964</v>
      </c>
      <c r="E7" t="inlineStr">
        <is>
          <t>COES</t>
        </is>
      </c>
      <c r="F7" t="inlineStr">
        <is>
          <t>QA</t>
        </is>
      </c>
      <c r="G7" t="inlineStr">
        <is>
          <t>Legal</t>
        </is>
      </c>
      <c r="H7" t="inlineStr">
        <is>
          <t>Pendiente</t>
        </is>
      </c>
      <c r="I7" t="inlineStr">
        <is>
          <t>Público</t>
        </is>
      </c>
      <c r="J7" t="inlineStr">
        <is>
          <t>Alta</t>
        </is>
      </c>
      <c r="K7" t="inlineStr">
        <is>
          <t>El presente documento corresponde a un resolución emitido por COES, relacionado con cláusulas de servicio, penalidades y vigencia contractual. El área responsable es QA.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 t="inlineStr">
        <is>
          <t>Resolución de COES asociado a cláusulas de servicio y gestionado por QA.</t>
        </is>
      </c>
      <c r="M7" t="inlineStr">
        <is>
          <t>Legal, Resolución, cláusulas de servicio, penalidades, vigencia contractual</t>
        </is>
      </c>
      <c r="N7" t="inlineStr">
        <is>
          <t>¿Qué indica el documento DOC-0006 sobre cláusulas de servicio?</t>
        </is>
      </c>
      <c r="O7" t="inlineStr">
        <is>
          <t>El documento DOC-0006 indica que se debe revisar cláusulas de servicio, validar antecedentes y coordinar acciones con el área QA.</t>
        </is>
      </c>
      <c r="P7" t="inlineStr">
        <is>
          <t>DOC-0006_Resolución.pdf</t>
        </is>
      </c>
      <c r="Q7" t="inlineStr">
        <is>
          <t>Registro sintético para entrenamiento inicial del agente documental.</t>
        </is>
      </c>
    </row>
    <row r="8">
      <c r="A8" t="inlineStr">
        <is>
          <t>DOC-0007</t>
        </is>
      </c>
      <c r="B8" t="inlineStr">
        <is>
          <t>Memorando</t>
        </is>
      </c>
      <c r="C8" t="inlineStr">
        <is>
          <t>Memorando sobre cláusulas de servicio - Servir</t>
        </is>
      </c>
      <c r="D8" s="7" t="n">
        <v>46039</v>
      </c>
      <c r="E8" t="inlineStr">
        <is>
          <t>Servir</t>
        </is>
      </c>
      <c r="F8" t="inlineStr">
        <is>
          <t>Soporte</t>
        </is>
      </c>
      <c r="G8" t="inlineStr">
        <is>
          <t>Legal</t>
        </is>
      </c>
      <c r="H8" t="inlineStr">
        <is>
          <t>Observado</t>
        </is>
      </c>
      <c r="I8" t="inlineStr">
        <is>
          <t>Interno</t>
        </is>
      </c>
      <c r="J8" t="inlineStr">
        <is>
          <t>Baja</t>
        </is>
      </c>
      <c r="K8" t="inlineStr">
        <is>
          <t>El presente documento corresponde a un memorando emitido por Servir, relacionado con cláusulas de servicio, vigencia contractual y penalidades. El área responsable es Soporte.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 t="inlineStr">
        <is>
          <t>Memorando de Servir asociado a cláusulas de servicio y gestionado por Soporte.</t>
        </is>
      </c>
      <c r="M8" t="inlineStr">
        <is>
          <t>Legal, Memorando, cláusulas de servicio, vigencia contractual, penalidades</t>
        </is>
      </c>
      <c r="N8" t="inlineStr">
        <is>
          <t>¿Qué indica el documento DOC-0007 sobre cláusulas de servicio?</t>
        </is>
      </c>
      <c r="O8" t="inlineStr">
        <is>
          <t>El documento DOC-0007 indica que se debe revisar cláusulas de servicio, validar antecedentes y coordinar acciones con el área Soporte.</t>
        </is>
      </c>
      <c r="P8" t="inlineStr">
        <is>
          <t>DOC-0007_Memorando.pdf</t>
        </is>
      </c>
      <c r="Q8" t="inlineStr">
        <is>
          <t>Registro sintético para entrenamiento inicial del agente documental.</t>
        </is>
      </c>
    </row>
    <row r="9">
      <c r="A9" t="inlineStr">
        <is>
          <t>DOC-0008</t>
        </is>
      </c>
      <c r="B9" t="inlineStr">
        <is>
          <t>Acta</t>
        </is>
      </c>
      <c r="C9" t="inlineStr">
        <is>
          <t>Acta sobre archivo - APN</t>
        </is>
      </c>
      <c r="D9" s="7" t="n">
        <v>45831</v>
      </c>
      <c r="E9" t="inlineStr">
        <is>
          <t>APN</t>
        </is>
      </c>
      <c r="F9" t="inlineStr">
        <is>
          <t>Administración</t>
        </is>
      </c>
      <c r="G9" t="inlineStr">
        <is>
          <t>Administrativo</t>
        </is>
      </c>
      <c r="H9" t="inlineStr">
        <is>
          <t>Observado</t>
        </is>
      </c>
      <c r="I9" t="inlineStr">
        <is>
          <t>Interno</t>
        </is>
      </c>
      <c r="J9" t="inlineStr">
        <is>
          <t>Crítica</t>
        </is>
      </c>
      <c r="K9" t="inlineStr">
        <is>
          <t>El presente documento corresponde a un acta emitido por APN, relacionado con archivo, derivación interna y seguimiento. El área responsable es Administración.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 t="inlineStr">
        <is>
          <t>Acta de APN asociado a archivo y gestionado por Administración.</t>
        </is>
      </c>
      <c r="M9" t="inlineStr">
        <is>
          <t>Administrativo, Acta, archivo, derivación interna, seguimiento</t>
        </is>
      </c>
      <c r="N9" t="inlineStr">
        <is>
          <t>¿Qué indica el documento DOC-0008 sobre archivo?</t>
        </is>
      </c>
      <c r="O9" t="inlineStr">
        <is>
          <t>El documento DOC-0008 indica que se debe revisar archivo, validar antecedentes y coordinar acciones con el área Administración.</t>
        </is>
      </c>
      <c r="P9" t="inlineStr">
        <is>
          <t>DOC-0008_Acta.pdf</t>
        </is>
      </c>
      <c r="Q9" t="inlineStr">
        <is>
          <t>Registro sintético para entrenamiento inicial del agente documental.</t>
        </is>
      </c>
    </row>
    <row r="10">
      <c r="A10" t="inlineStr">
        <is>
          <t>DOC-0009</t>
        </is>
      </c>
      <c r="B10" t="inlineStr">
        <is>
          <t>Expediente</t>
        </is>
      </c>
      <c r="C10" t="inlineStr">
        <is>
          <t>Expediente sobre integración de sistemas - OEFA</t>
        </is>
      </c>
      <c r="D10" s="7" t="n">
        <v>45822</v>
      </c>
      <c r="E10" t="inlineStr">
        <is>
          <t>OEFA</t>
        </is>
      </c>
      <c r="F10" t="inlineStr">
        <is>
          <t>QA</t>
        </is>
      </c>
      <c r="G10" t="inlineStr">
        <is>
          <t>Técnico</t>
        </is>
      </c>
      <c r="H10" t="inlineStr">
        <is>
          <t>En revisión</t>
        </is>
      </c>
      <c r="I10" t="inlineStr">
        <is>
          <t>Interno</t>
        </is>
      </c>
      <c r="J10" t="inlineStr">
        <is>
          <t>Alta</t>
        </is>
      </c>
      <c r="K10" t="inlineStr">
        <is>
          <t>El presente documento corresponde a un expediente emitido por OEFA, relacionado con integración de sistemas, disponibilidad y arquitectura tecnológica. El área responsable es QA.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 t="inlineStr">
        <is>
          <t>Expediente de OEFA asociado a integración de sistemas y gestionado por QA.</t>
        </is>
      </c>
      <c r="M10" t="inlineStr">
        <is>
          <t>Técnico, Expediente, integración de sistemas, disponibilidad, arquitectura tecnológica</t>
        </is>
      </c>
      <c r="N10" t="inlineStr">
        <is>
          <t>¿Qué indica el documento DOC-0009 sobre integración de sistemas?</t>
        </is>
      </c>
      <c r="O10" t="inlineStr">
        <is>
          <t>El documento DOC-0009 indica que se debe revisar integración de sistemas, validar antecedentes y coordinar acciones con el área QA.</t>
        </is>
      </c>
      <c r="P10" t="inlineStr">
        <is>
          <t>DOC-0009_Expediente.pdf</t>
        </is>
      </c>
      <c r="Q10" t="inlineStr">
        <is>
          <t>Registro sintético para entrenamiento inicial del agente documental.</t>
        </is>
      </c>
    </row>
    <row r="11">
      <c r="A11" t="inlineStr">
        <is>
          <t>DOC-0010</t>
        </is>
      </c>
      <c r="B11" t="inlineStr">
        <is>
          <t>Acta</t>
        </is>
      </c>
      <c r="C11" t="inlineStr">
        <is>
          <t>Acta sobre alcance comercial - Sunass</t>
        </is>
      </c>
      <c r="D11" s="7" t="n">
        <v>45827</v>
      </c>
      <c r="E11" t="inlineStr">
        <is>
          <t>Sunass</t>
        </is>
      </c>
      <c r="F11" t="inlineStr">
        <is>
          <t>TI</t>
        </is>
      </c>
      <c r="G11" t="inlineStr">
        <is>
          <t>Comercial</t>
        </is>
      </c>
      <c r="H11" t="inlineStr">
        <is>
          <t>Observado</t>
        </is>
      </c>
      <c r="I11" t="inlineStr">
        <is>
          <t>Interno</t>
        </is>
      </c>
      <c r="J11" t="inlineStr">
        <is>
          <t>Media</t>
        </is>
      </c>
      <c r="K11" t="inlineStr">
        <is>
          <t>El presente documento corresponde a un acta emitido por Sunass, relacionado con alcance comercial, servicio contratado y condiciones de pago. El área responsable es TI.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 t="inlineStr">
        <is>
          <t>Acta de Sunass asociado a alcance comercial y gestionado por TI.</t>
        </is>
      </c>
      <c r="M11" t="inlineStr">
        <is>
          <t>Comercial, Acta, alcance comercial, servicio contratado, condiciones de pago</t>
        </is>
      </c>
      <c r="N11" t="inlineStr">
        <is>
          <t>¿Qué indica el documento DOC-0010 sobre alcance comercial?</t>
        </is>
      </c>
      <c r="O11" t="inlineStr">
        <is>
          <t>El documento DOC-0010 indica que se debe revisar alcance comercial, validar antecedentes y coordinar acciones con el área TI.</t>
        </is>
      </c>
      <c r="P11" t="inlineStr">
        <is>
          <t>DOC-0010_Acta.pdf</t>
        </is>
      </c>
      <c r="Q11" t="inlineStr">
        <is>
          <t>Registro sintético para entrenamiento inicial del agente documental.</t>
        </is>
      </c>
    </row>
    <row r="12">
      <c r="A12" t="inlineStr">
        <is>
          <t>DOC-0011</t>
        </is>
      </c>
      <c r="B12" t="inlineStr">
        <is>
          <t>Acta</t>
        </is>
      </c>
      <c r="C12" t="inlineStr">
        <is>
          <t>Acta sobre facturación - BTG</t>
        </is>
      </c>
      <c r="D12" s="7" t="n">
        <v>45959</v>
      </c>
      <c r="E12" t="inlineStr">
        <is>
          <t>BTG</t>
        </is>
      </c>
      <c r="F12" t="inlineStr">
        <is>
          <t>Soporte</t>
        </is>
      </c>
      <c r="G12" t="inlineStr">
        <is>
          <t>Financiero</t>
        </is>
      </c>
      <c r="H12" t="inlineStr">
        <is>
          <t>Pendiente</t>
        </is>
      </c>
      <c r="I12" t="inlineStr">
        <is>
          <t>Interno</t>
        </is>
      </c>
      <c r="J12" t="inlineStr">
        <is>
          <t>Media</t>
        </is>
      </c>
      <c r="K12" t="inlineStr">
        <is>
          <t>El presente documento corresponde a un acta emitido por BTG, relacionado con facturación, orden de compra y monto. El área responsable es Soporte.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 t="inlineStr">
        <is>
          <t>Acta de BTG asociado a facturación y gestionado por Soporte.</t>
        </is>
      </c>
      <c r="M12" t="inlineStr">
        <is>
          <t>Financiero, Acta, facturación, orden de compra, monto</t>
        </is>
      </c>
      <c r="N12" t="inlineStr">
        <is>
          <t>¿Qué indica el documento DOC-0011 sobre facturación?</t>
        </is>
      </c>
      <c r="O12" t="inlineStr">
        <is>
          <t>El documento DOC-0011 indica que se debe revisar facturación, validar antecedentes y coordinar acciones con el área Soporte.</t>
        </is>
      </c>
      <c r="P12" t="inlineStr">
        <is>
          <t>DOC-0011_Acta.pdf</t>
        </is>
      </c>
      <c r="Q12" t="inlineStr">
        <is>
          <t>Registro sintético para entrenamiento inicial del agente documental.</t>
        </is>
      </c>
    </row>
    <row r="13">
      <c r="A13" t="inlineStr">
        <is>
          <t>DOC-0012</t>
        </is>
      </c>
      <c r="B13" t="inlineStr">
        <is>
          <t>Resolución</t>
        </is>
      </c>
      <c r="C13" t="inlineStr">
        <is>
          <t>Resolución sobre seguimiento - Luz del Sur</t>
        </is>
      </c>
      <c r="D13" s="7" t="n">
        <v>46006</v>
      </c>
      <c r="E13" t="inlineStr">
        <is>
          <t>Luz del Sur</t>
        </is>
      </c>
      <c r="F13" t="inlineStr">
        <is>
          <t>Administración</t>
        </is>
      </c>
      <c r="G13" t="inlineStr">
        <is>
          <t>Administrativo</t>
        </is>
      </c>
      <c r="H13" t="inlineStr">
        <is>
          <t>Pendiente</t>
        </is>
      </c>
      <c r="I13" t="inlineStr">
        <is>
          <t>Interno</t>
        </is>
      </c>
      <c r="J13" t="inlineStr">
        <is>
          <t>Alta</t>
        </is>
      </c>
      <c r="K13" t="inlineStr">
        <is>
          <t>El presente documento corresponde a un resolución emitido por Luz del Sur, relacionado con seguimiento, registro documentario y aprobación. El área responsable es Administración.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 t="inlineStr">
        <is>
          <t>Resolución de Luz del Sur asociado a seguimiento y gestionado por Administración.</t>
        </is>
      </c>
      <c r="M13" t="inlineStr">
        <is>
          <t>Administrativo, Resolución, seguimiento, registro documentario, aprobación</t>
        </is>
      </c>
      <c r="N13" t="inlineStr">
        <is>
          <t>¿Qué indica el documento DOC-0012 sobre seguimiento?</t>
        </is>
      </c>
      <c r="O13" t="inlineStr">
        <is>
          <t>El documento DOC-0012 indica que se debe revisar seguimiento, validar antecedentes y coordinar acciones con el área Administración.</t>
        </is>
      </c>
      <c r="P13" t="inlineStr">
        <is>
          <t>DOC-0012_Resolución.pdf</t>
        </is>
      </c>
      <c r="Q13" t="inlineStr">
        <is>
          <t>Registro sintético para entrenamiento inicial del agente documental.</t>
        </is>
      </c>
    </row>
    <row r="14">
      <c r="A14" t="inlineStr">
        <is>
          <t>DOC-0013</t>
        </is>
      </c>
      <c r="B14" t="inlineStr">
        <is>
          <t>Acta</t>
        </is>
      </c>
      <c r="C14" t="inlineStr">
        <is>
          <t>Acta sobre penalidades - UTP</t>
        </is>
      </c>
      <c r="D14" s="7" t="n">
        <v>45731</v>
      </c>
      <c r="E14" t="inlineStr">
        <is>
          <t>UTP</t>
        </is>
      </c>
      <c r="F14" t="inlineStr">
        <is>
          <t>Mesa de Partes</t>
        </is>
      </c>
      <c r="G14" t="inlineStr">
        <is>
          <t>Legal</t>
        </is>
      </c>
      <c r="H14" t="inlineStr">
        <is>
          <t>Observado</t>
        </is>
      </c>
      <c r="I14" t="inlineStr">
        <is>
          <t>Interno</t>
        </is>
      </c>
      <c r="J14" t="inlineStr">
        <is>
          <t>Media</t>
        </is>
      </c>
      <c r="K14" t="inlineStr">
        <is>
          <t>El presente documento corresponde a un acta emitido por UTP, relacionado con penalidades, vigencia contractual y cláusulas de servicio. El área responsable es Mesa de Partes.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 t="inlineStr">
        <is>
          <t>Acta de UTP asociado a penalidades y gestionado por Mesa de Partes.</t>
        </is>
      </c>
      <c r="M14" t="inlineStr">
        <is>
          <t>Legal, Acta, penalidades, vigencia contractual, cláusulas de servicio</t>
        </is>
      </c>
      <c r="N14" t="inlineStr">
        <is>
          <t>¿Qué indica el documento DOC-0013 sobre penalidades?</t>
        </is>
      </c>
      <c r="O14" t="inlineStr">
        <is>
          <t>El documento DOC-0013 indica que se debe revisar penalidades, validar antecedentes y coordinar acciones con el área Mesa de Partes.</t>
        </is>
      </c>
      <c r="P14" t="inlineStr">
        <is>
          <t>DOC-0013_Acta.pdf</t>
        </is>
      </c>
      <c r="Q14" t="inlineStr">
        <is>
          <t>Registro sintético para entrenamiento inicial del agente documental.</t>
        </is>
      </c>
    </row>
    <row r="15">
      <c r="A15" t="inlineStr">
        <is>
          <t>DOC-0014</t>
        </is>
      </c>
      <c r="B15" t="inlineStr">
        <is>
          <t>Contrato</t>
        </is>
      </c>
      <c r="C15" t="inlineStr">
        <is>
          <t>Contrato sobre metadatos - OEFA</t>
        </is>
      </c>
      <c r="D15" s="7" t="n">
        <v>46182</v>
      </c>
      <c r="E15" t="inlineStr">
        <is>
          <t>OEFA</t>
        </is>
      </c>
      <c r="F15" t="inlineStr">
        <is>
          <t>Legal</t>
        </is>
      </c>
      <c r="G15" t="inlineStr">
        <is>
          <t>Gestión Documental</t>
        </is>
      </c>
      <c r="H15" t="inlineStr">
        <is>
          <t>Vigente</t>
        </is>
      </c>
      <c r="I15" t="inlineStr">
        <is>
          <t>Público</t>
        </is>
      </c>
      <c r="J15" t="inlineStr">
        <is>
          <t>Alta</t>
        </is>
      </c>
      <c r="K15" t="inlineStr">
        <is>
          <t>El presente documento corresponde a un contrato emitido por OEFA, relacionado con metadatos, trazabilidad y búsqueda semántica. El área responsable es Legal.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 t="inlineStr">
        <is>
          <t>Contrato de OEFA asociado a metadatos y gestionado por Legal.</t>
        </is>
      </c>
      <c r="M15" t="inlineStr">
        <is>
          <t>Gestión Documental, Contrato, metadatos, trazabilidad, búsqueda semántica</t>
        </is>
      </c>
      <c r="N15" t="inlineStr">
        <is>
          <t>¿Qué indica el documento DOC-0014 sobre metadatos?</t>
        </is>
      </c>
      <c r="O15" t="inlineStr">
        <is>
          <t>El documento DOC-0014 indica que se debe revisar metadatos, validar antecedentes y coordinar acciones con el área Legal.</t>
        </is>
      </c>
      <c r="P15" t="inlineStr">
        <is>
          <t>DOC-0014_Contrato.pdf</t>
        </is>
      </c>
      <c r="Q15" t="inlineStr">
        <is>
          <t>Registro sintético para entrenamiento inicial del agente documental.</t>
        </is>
      </c>
    </row>
    <row r="16">
      <c r="A16" t="inlineStr">
        <is>
          <t>DOC-0015</t>
        </is>
      </c>
      <c r="B16" t="inlineStr">
        <is>
          <t>Oficio</t>
        </is>
      </c>
      <c r="C16" t="inlineStr">
        <is>
          <t>Oficio sobre incidente reportado - Caja Cusco</t>
        </is>
      </c>
      <c r="D16" s="7" t="n">
        <v>45720</v>
      </c>
      <c r="E16" t="inlineStr">
        <is>
          <t>Caja Cusco</t>
        </is>
      </c>
      <c r="F16" t="inlineStr">
        <is>
          <t>Operaciones</t>
        </is>
      </c>
      <c r="G16" t="inlineStr">
        <is>
          <t>Soporte</t>
        </is>
      </c>
      <c r="H16" t="inlineStr">
        <is>
          <t>Pendiente</t>
        </is>
      </c>
      <c r="I16" t="inlineStr">
        <is>
          <t>Confidencial</t>
        </is>
      </c>
      <c r="J16" t="inlineStr">
        <is>
          <t>Baja</t>
        </is>
      </c>
      <c r="K16" t="inlineStr">
        <is>
          <t>El presente documento corresponde a un oficio emitido por Caja Cusco, relacionado con incidente reportado, tiempo de atención y escalamiento.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 t="inlineStr">
        <is>
          <t>Oficio de Caja Cusco asociado a incidente reportado y gestionado por Operaciones.</t>
        </is>
      </c>
      <c r="M16" t="inlineStr">
        <is>
          <t>Soporte, Oficio, incidente reportado, tiempo de atención, escalamiento</t>
        </is>
      </c>
      <c r="N16" t="inlineStr">
        <is>
          <t>¿Qué indica el documento DOC-0015 sobre incidente reportado?</t>
        </is>
      </c>
      <c r="O16" t="inlineStr">
        <is>
          <t>El documento DOC-0015 indica que se debe revisar incidente reportado, validar antecedentes y coordinar acciones con el área Operaciones.</t>
        </is>
      </c>
      <c r="P16" t="inlineStr">
        <is>
          <t>DOC-0015_Oficio.pdf</t>
        </is>
      </c>
      <c r="Q16" t="inlineStr">
        <is>
          <t>Registro sintético para entrenamiento inicial del agente documental.</t>
        </is>
      </c>
    </row>
    <row r="17">
      <c r="A17" t="inlineStr">
        <is>
          <t>DOC-0016</t>
        </is>
      </c>
      <c r="B17" t="inlineStr">
        <is>
          <t>Contrato</t>
        </is>
      </c>
      <c r="C17" t="inlineStr">
        <is>
          <t>Contrato sobre orden de compra - Servir</t>
        </is>
      </c>
      <c r="D17" s="7" t="n">
        <v>45778</v>
      </c>
      <c r="E17" t="inlineStr">
        <is>
          <t>Servir</t>
        </is>
      </c>
      <c r="F17" t="inlineStr">
        <is>
          <t>Mesa de Partes</t>
        </is>
      </c>
      <c r="G17" t="inlineStr">
        <is>
          <t>Financiero</t>
        </is>
      </c>
      <c r="H17" t="inlineStr">
        <is>
          <t>Pendiente</t>
        </is>
      </c>
      <c r="I17" t="inlineStr">
        <is>
          <t>Interno</t>
        </is>
      </c>
      <c r="J17" t="inlineStr">
        <is>
          <t>Baja</t>
        </is>
      </c>
      <c r="K17" t="inlineStr">
        <is>
          <t>El presente documento corresponde a un contrato emitido por Servir, relacionado con orden de compra, monto y validación contable. El área responsable es Mesa de Partes.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 t="inlineStr">
        <is>
          <t>Contrato de Servir asociado a orden de compra y gestionado por Mesa de Partes.</t>
        </is>
      </c>
      <c r="M17" t="inlineStr">
        <is>
          <t>Financiero, Contrato, orden de compra, monto, validación contable</t>
        </is>
      </c>
      <c r="N17" t="inlineStr">
        <is>
          <t>¿Qué indica el documento DOC-0016 sobre orden de compra?</t>
        </is>
      </c>
      <c r="O17" t="inlineStr">
        <is>
          <t>El documento DOC-0016 indica que se debe revisar orden de compra, validar antecedentes y coordinar acciones con el área Mesa de Partes.</t>
        </is>
      </c>
      <c r="P17" t="inlineStr">
        <is>
          <t>DOC-0016_Contrato.pdf</t>
        </is>
      </c>
      <c r="Q17" t="inlineStr">
        <is>
          <t>Registro sintético para entrenamiento inicial del agente documental.</t>
        </is>
      </c>
    </row>
    <row r="18">
      <c r="A18" t="inlineStr">
        <is>
          <t>DOC-0017</t>
        </is>
      </c>
      <c r="B18" t="inlineStr">
        <is>
          <t>Solicitud</t>
        </is>
      </c>
      <c r="C18" t="inlineStr">
        <is>
          <t>Solicitud sobre tiempo de atención - Grupo Gloria</t>
        </is>
      </c>
      <c r="D18" s="7" t="n">
        <v>45986</v>
      </c>
      <c r="E18" t="inlineStr">
        <is>
          <t>Grupo Gloria</t>
        </is>
      </c>
      <c r="F18" t="inlineStr">
        <is>
          <t>Comercial</t>
        </is>
      </c>
      <c r="G18" t="inlineStr">
        <is>
          <t>Soporte</t>
        </is>
      </c>
      <c r="H18" t="inlineStr">
        <is>
          <t>Archivado</t>
        </is>
      </c>
      <c r="I18" t="inlineStr">
        <is>
          <t>Público</t>
        </is>
      </c>
      <c r="J18" t="inlineStr">
        <is>
          <t>Baja</t>
        </is>
      </c>
      <c r="K18" t="inlineStr">
        <is>
          <t>El presente documento corresponde a un solicitud emitido por Grupo Gloria, relacionado con tiempo de atención, incidente reportado y cierre de ticket. El área responsable es Comercial.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 t="inlineStr">
        <is>
          <t>Solicitud de Grupo Gloria asociado a tiempo de atención y gestionado por Comercial.</t>
        </is>
      </c>
      <c r="M18" t="inlineStr">
        <is>
          <t>Soporte, Solicitud, tiempo de atención, incidente reportado, cierre de ticket</t>
        </is>
      </c>
      <c r="N18" t="inlineStr">
        <is>
          <t>¿Qué indica el documento DOC-0017 sobre tiempo de atención?</t>
        </is>
      </c>
      <c r="O18" t="inlineStr">
        <is>
          <t>El documento DOC-0017 indica que se debe revisar tiempo de atención, validar antecedentes y coordinar acciones con el área Comercial.</t>
        </is>
      </c>
      <c r="P18" t="inlineStr">
        <is>
          <t>DOC-0017_Solicitud.pdf</t>
        </is>
      </c>
      <c r="Q18" t="inlineStr">
        <is>
          <t>Registro sintético para entrenamiento inicial del agente documental.</t>
        </is>
      </c>
    </row>
    <row r="19">
      <c r="A19" t="inlineStr">
        <is>
          <t>DOC-0018</t>
        </is>
      </c>
      <c r="B19" t="inlineStr">
        <is>
          <t>Resolución</t>
        </is>
      </c>
      <c r="C19" t="inlineStr">
        <is>
          <t>Resolución sobre atención de solicitudes - Grupo Gloria</t>
        </is>
      </c>
      <c r="D19" s="7" t="n">
        <v>45672</v>
      </c>
      <c r="E19" t="inlineStr">
        <is>
          <t>Grupo Gloria</t>
        </is>
      </c>
      <c r="F19" t="inlineStr">
        <is>
          <t>Comercial</t>
        </is>
      </c>
      <c r="G19" t="inlineStr">
        <is>
          <t>Operaciones</t>
        </is>
      </c>
      <c r="H19" t="inlineStr">
        <is>
          <t>Observado</t>
        </is>
      </c>
      <c r="I19" t="inlineStr">
        <is>
          <t>Interno</t>
        </is>
      </c>
      <c r="J19" t="inlineStr">
        <is>
          <t>Alta</t>
        </is>
      </c>
      <c r="K19" t="inlineStr">
        <is>
          <t>El presente documento corresponde a un resolución emitido por Grupo Gloria, relacionado con atención de solicitudes, gestión operativa y incidencias. El área responsable es Comercial.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 t="inlineStr">
        <is>
          <t>Resolución de Grupo Gloria asociado a atención de solicitudes y gestionado por Comercial.</t>
        </is>
      </c>
      <c r="M19" t="inlineStr">
        <is>
          <t>Operaciones, Resolución, atención de solicitudes, gestión operativa, incidencias</t>
        </is>
      </c>
      <c r="N19" t="inlineStr">
        <is>
          <t>¿Qué indica el documento DOC-0018 sobre atención de solicitudes?</t>
        </is>
      </c>
      <c r="O19" t="inlineStr">
        <is>
          <t>El documento DOC-0018 indica que se debe revisar atención de solicitudes, validar antecedentes y coordinar acciones con el área Comercial.</t>
        </is>
      </c>
      <c r="P19" t="inlineStr">
        <is>
          <t>DOC-0018_Resolución.pdf</t>
        </is>
      </c>
      <c r="Q19" t="inlineStr">
        <is>
          <t>Registro sintético para entrenamiento inicial del agente documental.</t>
        </is>
      </c>
    </row>
    <row r="20">
      <c r="A20" t="inlineStr">
        <is>
          <t>DOC-0019</t>
        </is>
      </c>
      <c r="B20" t="inlineStr">
        <is>
          <t>Reclamo</t>
        </is>
      </c>
      <c r="C20" t="inlineStr">
        <is>
          <t>Reclamo sobre servicio contratado - Sunass</t>
        </is>
      </c>
      <c r="D20" s="7" t="n">
        <v>46157</v>
      </c>
      <c r="E20" t="inlineStr">
        <is>
          <t>Sunass</t>
        </is>
      </c>
      <c r="F20" t="inlineStr">
        <is>
          <t>TI</t>
        </is>
      </c>
      <c r="G20" t="inlineStr">
        <is>
          <t>Comercial</t>
        </is>
      </c>
      <c r="H20" t="inlineStr">
        <is>
          <t>Pendiente</t>
        </is>
      </c>
      <c r="I20" t="inlineStr">
        <is>
          <t>Público</t>
        </is>
      </c>
      <c r="J20" t="inlineStr">
        <is>
          <t>Media</t>
        </is>
      </c>
      <c r="K20" t="inlineStr">
        <is>
          <t>El presente documento corresponde a un reclamo emitido por Sunass, relacionado con servicio contratado, condiciones de pago y renovación. El área responsable es TI.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0" t="inlineStr">
        <is>
          <t>Reclamo de Sunass asociado a servicio contratado y gestionado por TI.</t>
        </is>
      </c>
      <c r="M20" t="inlineStr">
        <is>
          <t>Comercial, Reclamo, servicio contratado, condiciones de pago, renovación</t>
        </is>
      </c>
      <c r="N20" t="inlineStr">
        <is>
          <t>¿Qué indica el documento DOC-0019 sobre servicio contratado?</t>
        </is>
      </c>
      <c r="O20" t="inlineStr">
        <is>
          <t>El documento DOC-0019 indica que se debe revisar servicio contratado, validar antecedentes y coordinar acciones con el área TI.</t>
        </is>
      </c>
      <c r="P20" t="inlineStr">
        <is>
          <t>DOC-0019_Reclamo.pdf</t>
        </is>
      </c>
      <c r="Q20" t="inlineStr">
        <is>
          <t>Registro sintético para entrenamiento inicial del agente documental.</t>
        </is>
      </c>
    </row>
    <row r="21">
      <c r="A21" t="inlineStr">
        <is>
          <t>DOC-0020</t>
        </is>
      </c>
      <c r="B21" t="inlineStr">
        <is>
          <t>Reclamo</t>
        </is>
      </c>
      <c r="C21" t="inlineStr">
        <is>
          <t>Reclamo sobre arquitectura tecnológica - Cliente Privado</t>
        </is>
      </c>
      <c r="D21" s="7" t="n">
        <v>46080</v>
      </c>
      <c r="E21" t="inlineStr">
        <is>
          <t>Cliente Privado</t>
        </is>
      </c>
      <c r="F21" t="inlineStr">
        <is>
          <t>Soporte</t>
        </is>
      </c>
      <c r="G21" t="inlineStr">
        <is>
          <t>Técnico</t>
        </is>
      </c>
      <c r="H21" t="inlineStr">
        <is>
          <t>Vigente</t>
        </is>
      </c>
      <c r="I21" t="inlineStr">
        <is>
          <t>Interno</t>
        </is>
      </c>
      <c r="J21" t="inlineStr">
        <is>
          <t>Crítica</t>
        </is>
      </c>
      <c r="K21" t="inlineStr">
        <is>
          <t>El presente documento corresponde a un reclamo emitido por Cliente Privado, relacionado con arquitectura tecnológica, base de datos y disponibilidad. El área responsable es Soporte.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1" t="inlineStr">
        <is>
          <t>Reclamo de Cliente Privado asociado a arquitectura tecnológica y gestionado por Soporte.</t>
        </is>
      </c>
      <c r="M21" t="inlineStr">
        <is>
          <t>Técnico, Reclamo, arquitectura tecnológica, base de datos, disponibilidad</t>
        </is>
      </c>
      <c r="N21" t="inlineStr">
        <is>
          <t>¿Qué indica el documento DOC-0020 sobre arquitectura tecnológica?</t>
        </is>
      </c>
      <c r="O21" t="inlineStr">
        <is>
          <t>El documento DOC-0020 indica que se debe revisar arquitectura tecnológica, validar antecedentes y coordinar acciones con el área Soporte.</t>
        </is>
      </c>
      <c r="P21" t="inlineStr">
        <is>
          <t>DOC-0020_Reclamo.pdf</t>
        </is>
      </c>
      <c r="Q21" t="inlineStr">
        <is>
          <t>Registro sintético para entrenamiento inicial del agente documental.</t>
        </is>
      </c>
    </row>
    <row r="22">
      <c r="A22" t="inlineStr">
        <is>
          <t>DOC-0021</t>
        </is>
      </c>
      <c r="B22" t="inlineStr">
        <is>
          <t>Carta</t>
        </is>
      </c>
      <c r="C22" t="inlineStr">
        <is>
          <t>Carta sobre seguimiento - Minam</t>
        </is>
      </c>
      <c r="D22" s="7" t="n">
        <v>45997</v>
      </c>
      <c r="E22" t="inlineStr">
        <is>
          <t>Minam</t>
        </is>
      </c>
      <c r="F22" t="inlineStr">
        <is>
          <t>Mesa de Partes</t>
        </is>
      </c>
      <c r="G22" t="inlineStr">
        <is>
          <t>Administrativo</t>
        </is>
      </c>
      <c r="H22" t="inlineStr">
        <is>
          <t>Archivado</t>
        </is>
      </c>
      <c r="I22" t="inlineStr">
        <is>
          <t>Confidencial</t>
        </is>
      </c>
      <c r="J22" t="inlineStr">
        <is>
          <t>Alta</t>
        </is>
      </c>
      <c r="K22" t="inlineStr">
        <is>
          <t>El presente documento corresponde a un carta emitido por Minam, relacionado con seguimiento, aprobación y archivo. El área responsable es Mesa de Partes.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2" t="inlineStr">
        <is>
          <t>Carta de Minam asociado a seguimiento y gestionado por Mesa de Partes.</t>
        </is>
      </c>
      <c r="M22" t="inlineStr">
        <is>
          <t>Administrativo, Carta, seguimiento, aprobación, archivo</t>
        </is>
      </c>
      <c r="N22" t="inlineStr">
        <is>
          <t>¿Qué indica el documento DOC-0021 sobre seguimiento?</t>
        </is>
      </c>
      <c r="O22" t="inlineStr">
        <is>
          <t>El documento DOC-0021 indica que se debe revisar seguimiento, validar antecedentes y coordinar acciones con el área Mesa de Partes.</t>
        </is>
      </c>
      <c r="P22" t="inlineStr">
        <is>
          <t>DOC-0021_Carta.pdf</t>
        </is>
      </c>
      <c r="Q22" t="inlineStr">
        <is>
          <t>Registro sintético para entrenamiento inicial del agente documental.</t>
        </is>
      </c>
    </row>
    <row r="23">
      <c r="A23" t="inlineStr">
        <is>
          <t>DOC-0022</t>
        </is>
      </c>
      <c r="B23" t="inlineStr">
        <is>
          <t>Reclamo</t>
        </is>
      </c>
      <c r="C23" t="inlineStr">
        <is>
          <t>Reclamo sobre seguimiento - OEFA</t>
        </is>
      </c>
      <c r="D23" s="7" t="n">
        <v>46002</v>
      </c>
      <c r="E23" t="inlineStr">
        <is>
          <t>OEFA</t>
        </is>
      </c>
      <c r="F23" t="inlineStr">
        <is>
          <t>Soporte</t>
        </is>
      </c>
      <c r="G23" t="inlineStr">
        <is>
          <t>Administrativo</t>
        </is>
      </c>
      <c r="H23" t="inlineStr">
        <is>
          <t>Pendiente</t>
        </is>
      </c>
      <c r="I23" t="inlineStr">
        <is>
          <t>Confidencial</t>
        </is>
      </c>
      <c r="J23" t="inlineStr">
        <is>
          <t>Media</t>
        </is>
      </c>
      <c r="K23" t="inlineStr">
        <is>
          <t>El presente documento corresponde a un reclamo emitido por OEFA, relacionado con seguimiento, registro documentario y archivo. El área responsable es Soporte.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3" t="inlineStr">
        <is>
          <t>Reclamo de OEFA asociado a seguimiento y gestionado por Soporte.</t>
        </is>
      </c>
      <c r="M23" t="inlineStr">
        <is>
          <t>Administrativo, Reclamo, seguimiento, registro documentario, archivo</t>
        </is>
      </c>
      <c r="N23" t="inlineStr">
        <is>
          <t>¿Qué indica el documento DOC-0022 sobre seguimiento?</t>
        </is>
      </c>
      <c r="O23" t="inlineStr">
        <is>
          <t>El documento DOC-0022 indica que se debe revisar seguimiento, validar antecedentes y coordinar acciones con el área Soporte.</t>
        </is>
      </c>
      <c r="P23" t="inlineStr">
        <is>
          <t>DOC-0022_Reclamo.pdf</t>
        </is>
      </c>
      <c r="Q23" t="inlineStr">
        <is>
          <t>Registro sintético para entrenamiento inicial del agente documental.</t>
        </is>
      </c>
    </row>
    <row r="24">
      <c r="A24" t="inlineStr">
        <is>
          <t>DOC-0023</t>
        </is>
      </c>
      <c r="B24" t="inlineStr">
        <is>
          <t>Memorando</t>
        </is>
      </c>
      <c r="C24" t="inlineStr">
        <is>
          <t>Memorando sobre facturación - APN</t>
        </is>
      </c>
      <c r="D24" s="7" t="n">
        <v>45879</v>
      </c>
      <c r="E24" t="inlineStr">
        <is>
          <t>APN</t>
        </is>
      </c>
      <c r="F24" t="inlineStr">
        <is>
          <t>Gestión Documental</t>
        </is>
      </c>
      <c r="G24" t="inlineStr">
        <is>
          <t>Financiero</t>
        </is>
      </c>
      <c r="H24" t="inlineStr">
        <is>
          <t>En revisión</t>
        </is>
      </c>
      <c r="I24" t="inlineStr">
        <is>
          <t>Confidencial</t>
        </is>
      </c>
      <c r="J24" t="inlineStr">
        <is>
          <t>Crítica</t>
        </is>
      </c>
      <c r="K24" t="inlineStr">
        <is>
          <t>El presente documento corresponde a un memorando emitido por APN, relacionado con facturación, cronograma de pagos y validación contable. El área responsable es Gestión Documental.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4" t="inlineStr">
        <is>
          <t>Memorando de APN asociado a facturación y gestionado por Gestión Documental.</t>
        </is>
      </c>
      <c r="M24" t="inlineStr">
        <is>
          <t>Financiero, Memorando, facturación, cronograma de pagos, validación contable</t>
        </is>
      </c>
      <c r="N24" t="inlineStr">
        <is>
          <t>¿Qué indica el documento DOC-0023 sobre facturación?</t>
        </is>
      </c>
      <c r="O24" t="inlineStr">
        <is>
          <t>El documento DOC-0023 indica que se debe revisar facturación, validar antecedentes y coordinar acciones con el área Gestión Documental.</t>
        </is>
      </c>
      <c r="P24" t="inlineStr">
        <is>
          <t>DOC-0023_Memorando.pdf</t>
        </is>
      </c>
      <c r="Q24" t="inlineStr">
        <is>
          <t>Registro sintético para entrenamiento inicial del agente documental.</t>
        </is>
      </c>
    </row>
    <row r="25">
      <c r="A25" t="inlineStr">
        <is>
          <t>DOC-0024</t>
        </is>
      </c>
      <c r="B25" t="inlineStr">
        <is>
          <t>Acta</t>
        </is>
      </c>
      <c r="C25" t="inlineStr">
        <is>
          <t>Acta sobre cumplimiento normativo - Cliente Privado</t>
        </is>
      </c>
      <c r="D25" s="7" t="n">
        <v>45917</v>
      </c>
      <c r="E25" t="inlineStr">
        <is>
          <t>Cliente Privado</t>
        </is>
      </c>
      <c r="F25" t="inlineStr">
        <is>
          <t>Comercial</t>
        </is>
      </c>
      <c r="G25" t="inlineStr">
        <is>
          <t>Legal</t>
        </is>
      </c>
      <c r="H25" t="inlineStr">
        <is>
          <t>Archivado</t>
        </is>
      </c>
      <c r="I25" t="inlineStr">
        <is>
          <t>Interno</t>
        </is>
      </c>
      <c r="J25" t="inlineStr">
        <is>
          <t>Alta</t>
        </is>
      </c>
      <c r="K25" t="inlineStr">
        <is>
          <t>El presente documento corresponde a un acta emitido por Cliente Privado, relacionado con cumplimiento normativo, vigencia contractual y cláusulas de servicio. El área responsable es Comercial.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5" t="inlineStr">
        <is>
          <t>Acta de Cliente Privado asociado a cumplimiento normativo y gestionado por Comercial.</t>
        </is>
      </c>
      <c r="M25" t="inlineStr">
        <is>
          <t>Legal, Acta, cumplimiento normativo, vigencia contractual, cláusulas de servicio</t>
        </is>
      </c>
      <c r="N25" t="inlineStr">
        <is>
          <t>¿Qué indica el documento DOC-0024 sobre cumplimiento normativo?</t>
        </is>
      </c>
      <c r="O25" t="inlineStr">
        <is>
          <t>El documento DOC-0024 indica que se debe revisar cumplimiento normativo, validar antecedentes y coordinar acciones con el área Comercial.</t>
        </is>
      </c>
      <c r="P25" t="inlineStr">
        <is>
          <t>DOC-0024_Acta.pdf</t>
        </is>
      </c>
      <c r="Q25" t="inlineStr">
        <is>
          <t>Registro sintético para entrenamiento inicial del agente documental.</t>
        </is>
      </c>
    </row>
    <row r="26">
      <c r="A26" t="inlineStr">
        <is>
          <t>DOC-0025</t>
        </is>
      </c>
      <c r="B26" t="inlineStr">
        <is>
          <t>Resolución</t>
        </is>
      </c>
      <c r="C26" t="inlineStr">
        <is>
          <t>Resolución sobre clasificación documental - Cliente Privado</t>
        </is>
      </c>
      <c r="D26" s="7" t="n">
        <v>45714</v>
      </c>
      <c r="E26" t="inlineStr">
        <is>
          <t>Cliente Privado</t>
        </is>
      </c>
      <c r="F26" t="inlineStr">
        <is>
          <t>Legal</t>
        </is>
      </c>
      <c r="G26" t="inlineStr">
        <is>
          <t>Gestión Documental</t>
        </is>
      </c>
      <c r="H26" t="inlineStr">
        <is>
          <t>Pendiente</t>
        </is>
      </c>
      <c r="I26" t="inlineStr">
        <is>
          <t>Confidencial</t>
        </is>
      </c>
      <c r="J26" t="inlineStr">
        <is>
          <t>Alta</t>
        </is>
      </c>
      <c r="K26" t="inlineStr">
        <is>
          <t>El presente documento corresponde a un resolución emitido por Cliente Privado, relacionado con clasificación documental, búsqueda semántica y trazabilidad. El área responsable es Legal.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6" t="inlineStr">
        <is>
          <t>Resolución de Cliente Privado asociado a clasificación documental y gestionado por Legal.</t>
        </is>
      </c>
      <c r="M26" t="inlineStr">
        <is>
          <t>Gestión Documental, Resolución, clasificación documental, búsqueda semántica, trazabilidad</t>
        </is>
      </c>
      <c r="N26" t="inlineStr">
        <is>
          <t>¿Qué indica el documento DOC-0025 sobre clasificación documental?</t>
        </is>
      </c>
      <c r="O26" t="inlineStr">
        <is>
          <t>El documento DOC-0025 indica que se debe revisar clasificación documental, validar antecedentes y coordinar acciones con el área Legal.</t>
        </is>
      </c>
      <c r="P26" t="inlineStr">
        <is>
          <t>DOC-0025_Resolución.pdf</t>
        </is>
      </c>
      <c r="Q26" t="inlineStr">
        <is>
          <t>Registro sintético para entrenamiento inicial del agente documental.</t>
        </is>
      </c>
    </row>
    <row r="27">
      <c r="A27" t="inlineStr">
        <is>
          <t>DOC-0026</t>
        </is>
      </c>
      <c r="B27" t="inlineStr">
        <is>
          <t>Carta</t>
        </is>
      </c>
      <c r="C27" t="inlineStr">
        <is>
          <t>Carta sobre SLA - APN</t>
        </is>
      </c>
      <c r="D27" s="7" t="n">
        <v>46091</v>
      </c>
      <c r="E27" t="inlineStr">
        <is>
          <t>APN</t>
        </is>
      </c>
      <c r="F27" t="inlineStr">
        <is>
          <t>Mesa de Partes</t>
        </is>
      </c>
      <c r="G27" t="inlineStr">
        <is>
          <t>Operaciones</t>
        </is>
      </c>
      <c r="H27" t="inlineStr">
        <is>
          <t>Pendiente</t>
        </is>
      </c>
      <c r="I27" t="inlineStr">
        <is>
          <t>Interno</t>
        </is>
      </c>
      <c r="J27" t="inlineStr">
        <is>
          <t>Baja</t>
        </is>
      </c>
      <c r="K27" t="inlineStr">
        <is>
          <t>El presente documento corresponde a un carta emitido por APN, relacionado con SLA, incidencias y atención de solicitudes. El área responsable es Mesa de Partes.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7" t="inlineStr">
        <is>
          <t>Carta de APN asociado a SLA y gestionado por Mesa de Partes.</t>
        </is>
      </c>
      <c r="M27" t="inlineStr">
        <is>
          <t>Operaciones, Carta, SLA, incidencias, atención de solicitudes</t>
        </is>
      </c>
      <c r="N27" t="inlineStr">
        <is>
          <t>¿Qué indica el documento DOC-0026 sobre SLA?</t>
        </is>
      </c>
      <c r="O27" t="inlineStr">
        <is>
          <t>El documento DOC-0026 indica que se debe revisar SLA, validar antecedentes y coordinar acciones con el área Mesa de Partes.</t>
        </is>
      </c>
      <c r="P27" t="inlineStr">
        <is>
          <t>DOC-0026_Carta.pdf</t>
        </is>
      </c>
      <c r="Q27" t="inlineStr">
        <is>
          <t>Registro sintético para entrenamiento inicial del agente documental.</t>
        </is>
      </c>
    </row>
    <row r="28">
      <c r="A28" t="inlineStr">
        <is>
          <t>DOC-0027</t>
        </is>
      </c>
      <c r="B28" t="inlineStr">
        <is>
          <t>Acta</t>
        </is>
      </c>
      <c r="C28" t="inlineStr">
        <is>
          <t>Acta sobre vigencia contractual - Caja Cusco</t>
        </is>
      </c>
      <c r="D28" s="7" t="n">
        <v>45925</v>
      </c>
      <c r="E28" t="inlineStr">
        <is>
          <t>Caja Cusco</t>
        </is>
      </c>
      <c r="F28" t="inlineStr">
        <is>
          <t>Comercial</t>
        </is>
      </c>
      <c r="G28" t="inlineStr">
        <is>
          <t>Legal</t>
        </is>
      </c>
      <c r="H28" t="inlineStr">
        <is>
          <t>Archivado</t>
        </is>
      </c>
      <c r="I28" t="inlineStr">
        <is>
          <t>Interno</t>
        </is>
      </c>
      <c r="J28" t="inlineStr">
        <is>
          <t>Alta</t>
        </is>
      </c>
      <c r="K28" t="inlineStr">
        <is>
          <t>El presente documento corresponde a un acta emitido por Caja Cusco, relacionado con vigencia contractual, obligaciones contractuales y penalidades. El área responsable es Comercial.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8" t="inlineStr">
        <is>
          <t>Acta de Caja Cusco asociado a vigencia contractual y gestionado por Comercial.</t>
        </is>
      </c>
      <c r="M28" t="inlineStr">
        <is>
          <t>Legal, Acta, vigencia contractual, obligaciones contractuales, penalidades</t>
        </is>
      </c>
      <c r="N28" t="inlineStr">
        <is>
          <t>¿Qué indica el documento DOC-0027 sobre vigencia contractual?</t>
        </is>
      </c>
      <c r="O28" t="inlineStr">
        <is>
          <t>El documento DOC-0027 indica que se debe revisar vigencia contractual, validar antecedentes y coordinar acciones con el área Comercial.</t>
        </is>
      </c>
      <c r="P28" t="inlineStr">
        <is>
          <t>DOC-0027_Acta.pdf</t>
        </is>
      </c>
      <c r="Q28" t="inlineStr">
        <is>
          <t>Registro sintético para entrenamiento inicial del agente documental.</t>
        </is>
      </c>
    </row>
    <row r="29">
      <c r="A29" t="inlineStr">
        <is>
          <t>DOC-0028</t>
        </is>
      </c>
      <c r="B29" t="inlineStr">
        <is>
          <t>Resolución</t>
        </is>
      </c>
      <c r="C29" t="inlineStr">
        <is>
          <t>Resolución sobre derivación interna - Minam</t>
        </is>
      </c>
      <c r="D29" s="7" t="n">
        <v>45772</v>
      </c>
      <c r="E29" t="inlineStr">
        <is>
          <t>Minam</t>
        </is>
      </c>
      <c r="F29" t="inlineStr">
        <is>
          <t>Administración</t>
        </is>
      </c>
      <c r="G29" t="inlineStr">
        <is>
          <t>Administrativo</t>
        </is>
      </c>
      <c r="H29" t="inlineStr">
        <is>
          <t>Observado</t>
        </is>
      </c>
      <c r="I29" t="inlineStr">
        <is>
          <t>Interno</t>
        </is>
      </c>
      <c r="J29" t="inlineStr">
        <is>
          <t>Crítica</t>
        </is>
      </c>
      <c r="K29" t="inlineStr">
        <is>
          <t>El presente documento corresponde a un resolución emitido por Minam, relacionado con derivación interna, aprobación y registro documentario. El área responsable es Administración.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9" t="inlineStr">
        <is>
          <t>Resolución de Minam asociado a derivación interna y gestionado por Administración.</t>
        </is>
      </c>
      <c r="M29" t="inlineStr">
        <is>
          <t>Administrativo, Resolución, derivación interna, aprobación, registro documentario</t>
        </is>
      </c>
      <c r="N29" t="inlineStr">
        <is>
          <t>¿Qué indica el documento DOC-0028 sobre derivación interna?</t>
        </is>
      </c>
      <c r="O29" t="inlineStr">
        <is>
          <t>El documento DOC-0028 indica que se debe revisar derivación interna, validar antecedentes y coordinar acciones con el área Administración.</t>
        </is>
      </c>
      <c r="P29" t="inlineStr">
        <is>
          <t>DOC-0028_Resolución.pdf</t>
        </is>
      </c>
      <c r="Q29" t="inlineStr">
        <is>
          <t>Registro sintético para entrenamiento inicial del agente documental.</t>
        </is>
      </c>
    </row>
    <row r="30">
      <c r="A30" t="inlineStr">
        <is>
          <t>DOC-0029</t>
        </is>
      </c>
      <c r="B30" t="inlineStr">
        <is>
          <t>Carta</t>
        </is>
      </c>
      <c r="C30" t="inlineStr">
        <is>
          <t>Carta sobre base de datos - BTG</t>
        </is>
      </c>
      <c r="D30" s="7" t="n">
        <v>46007</v>
      </c>
      <c r="E30" t="inlineStr">
        <is>
          <t>BTG</t>
        </is>
      </c>
      <c r="F30" t="inlineStr">
        <is>
          <t>Mesa de Partes</t>
        </is>
      </c>
      <c r="G30" t="inlineStr">
        <is>
          <t>Técnico</t>
        </is>
      </c>
      <c r="H30" t="inlineStr">
        <is>
          <t>Archivado</t>
        </is>
      </c>
      <c r="I30" t="inlineStr">
        <is>
          <t>Interno</t>
        </is>
      </c>
      <c r="J30" t="inlineStr">
        <is>
          <t>Crítica</t>
        </is>
      </c>
      <c r="K30" t="inlineStr">
        <is>
          <t>El presente documento corresponde a un carta emitido por BTG, relacionado con base de datos, integración de sistemas y disponibilidad. El área responsable es Mesa de Partes.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0" t="inlineStr">
        <is>
          <t>Carta de BTG asociado a base de datos y gestionado por Mesa de Partes.</t>
        </is>
      </c>
      <c r="M30" t="inlineStr">
        <is>
          <t>Técnico, Carta, base de datos, integración de sistemas, disponibilidad</t>
        </is>
      </c>
      <c r="N30" t="inlineStr">
        <is>
          <t>¿Qué indica el documento DOC-0029 sobre base de datos?</t>
        </is>
      </c>
      <c r="O30" t="inlineStr">
        <is>
          <t>El documento DOC-0029 indica que se debe revisar base de datos, validar antecedentes y coordinar acciones con el área Mesa de Partes.</t>
        </is>
      </c>
      <c r="P30" t="inlineStr">
        <is>
          <t>DOC-0029_Carta.pdf</t>
        </is>
      </c>
      <c r="Q30" t="inlineStr">
        <is>
          <t>Registro sintético para entrenamiento inicial del agente documental.</t>
        </is>
      </c>
    </row>
    <row r="31">
      <c r="A31" t="inlineStr">
        <is>
          <t>DOC-0030</t>
        </is>
      </c>
      <c r="B31" t="inlineStr">
        <is>
          <t>Acta</t>
        </is>
      </c>
      <c r="C31" t="inlineStr">
        <is>
          <t>Acta sobre disponibilidad - APN</t>
        </is>
      </c>
      <c r="D31" s="7" t="n">
        <v>45810</v>
      </c>
      <c r="E31" t="inlineStr">
        <is>
          <t>APN</t>
        </is>
      </c>
      <c r="F31" t="inlineStr">
        <is>
          <t>QA</t>
        </is>
      </c>
      <c r="G31" t="inlineStr">
        <is>
          <t>Técnico</t>
        </is>
      </c>
      <c r="H31" t="inlineStr">
        <is>
          <t>Archivado</t>
        </is>
      </c>
      <c r="I31" t="inlineStr">
        <is>
          <t>Confidencial</t>
        </is>
      </c>
      <c r="J31" t="inlineStr">
        <is>
          <t>Crítica</t>
        </is>
      </c>
      <c r="K31" t="inlineStr">
        <is>
          <t>El presente documento corresponde a un acta emitido por APN, relacionado con disponibilidad, seguridad y integración de sistemas.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1" t="inlineStr">
        <is>
          <t>Acta de APN asociado a disponibilidad y gestionado por QA.</t>
        </is>
      </c>
      <c r="M31" t="inlineStr">
        <is>
          <t>Técnico, Acta, disponibilidad, seguridad, integración de sistemas</t>
        </is>
      </c>
      <c r="N31" t="inlineStr">
        <is>
          <t>¿Qué indica el documento DOC-0030 sobre disponibilidad?</t>
        </is>
      </c>
      <c r="O31" t="inlineStr">
        <is>
          <t>El documento DOC-0030 indica que se debe revisar disponibilidad, validar antecedentes y coordinar acciones con el área QA.</t>
        </is>
      </c>
      <c r="P31" t="inlineStr">
        <is>
          <t>DOC-0030_Acta.pdf</t>
        </is>
      </c>
      <c r="Q31" t="inlineStr">
        <is>
          <t>Registro sintético para entrenamiento inicial del agente documental.</t>
        </is>
      </c>
    </row>
    <row r="32">
      <c r="A32" t="inlineStr">
        <is>
          <t>DOC-0031</t>
        </is>
      </c>
      <c r="B32" t="inlineStr">
        <is>
          <t>Oficio</t>
        </is>
      </c>
      <c r="C32" t="inlineStr">
        <is>
          <t>Oficio sobre gestión operativa - APN</t>
        </is>
      </c>
      <c r="D32" s="7" t="n">
        <v>46186</v>
      </c>
      <c r="E32" t="inlineStr">
        <is>
          <t>APN</t>
        </is>
      </c>
      <c r="F32" t="inlineStr">
        <is>
          <t>Mesa de Partes</t>
        </is>
      </c>
      <c r="G32" t="inlineStr">
        <is>
          <t>Operaciones</t>
        </is>
      </c>
      <c r="H32" t="inlineStr">
        <is>
          <t>En revisión</t>
        </is>
      </c>
      <c r="I32" t="inlineStr">
        <is>
          <t>Interno</t>
        </is>
      </c>
      <c r="J32" t="inlineStr">
        <is>
          <t>Media</t>
        </is>
      </c>
      <c r="K32" t="inlineStr">
        <is>
          <t>El presente documento corresponde a un oficio emitido por APN, relacionado con gestión operativa, incidencias y atención de solicitudes. El área responsable es Mesa de Partes.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2" t="inlineStr">
        <is>
          <t>Oficio de APN asociado a gestión operativa y gestionado por Mesa de Partes.</t>
        </is>
      </c>
      <c r="M32" t="inlineStr">
        <is>
          <t>Operaciones, Oficio, gestión operativa, incidencias, atención de solicitudes</t>
        </is>
      </c>
      <c r="N32" t="inlineStr">
        <is>
          <t>¿Qué indica el documento DOC-0031 sobre gestión operativa?</t>
        </is>
      </c>
      <c r="O32" t="inlineStr">
        <is>
          <t>El documento DOC-0031 indica que se debe revisar gestión operativa, validar antecedentes y coordinar acciones con el área Mesa de Partes.</t>
        </is>
      </c>
      <c r="P32" t="inlineStr">
        <is>
          <t>DOC-0031_Oficio.pdf</t>
        </is>
      </c>
      <c r="Q32" t="inlineStr">
        <is>
          <t>Registro sintético para entrenamiento inicial del agente documental.</t>
        </is>
      </c>
    </row>
    <row r="33">
      <c r="A33" t="inlineStr">
        <is>
          <t>DOC-0032</t>
        </is>
      </c>
      <c r="B33" t="inlineStr">
        <is>
          <t>Oficio</t>
        </is>
      </c>
      <c r="C33" t="inlineStr">
        <is>
          <t>Oficio sobre condiciones de pago - Sunass</t>
        </is>
      </c>
      <c r="D33" s="7" t="n">
        <v>46073</v>
      </c>
      <c r="E33" t="inlineStr">
        <is>
          <t>Sunass</t>
        </is>
      </c>
      <c r="F33" t="inlineStr">
        <is>
          <t>TI</t>
        </is>
      </c>
      <c r="G33" t="inlineStr">
        <is>
          <t>Comercial</t>
        </is>
      </c>
      <c r="H33" t="inlineStr">
        <is>
          <t>Observado</t>
        </is>
      </c>
      <c r="I33" t="inlineStr">
        <is>
          <t>Confidencial</t>
        </is>
      </c>
      <c r="J33" t="inlineStr">
        <is>
          <t>Baja</t>
        </is>
      </c>
      <c r="K33" t="inlineStr">
        <is>
          <t>El presente documento corresponde a un oficio emitido por Sunass, relacionado con condiciones de pago, renovación y alcance comercial. El área responsable es TI.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3" t="inlineStr">
        <is>
          <t>Oficio de Sunass asociado a condiciones de pago y gestionado por TI.</t>
        </is>
      </c>
      <c r="M33" t="inlineStr">
        <is>
          <t>Comercial, Oficio, condiciones de pago, renovación, alcance comercial</t>
        </is>
      </c>
      <c r="N33" t="inlineStr">
        <is>
          <t>¿Qué indica el documento DOC-0032 sobre condiciones de pago?</t>
        </is>
      </c>
      <c r="O33" t="inlineStr">
        <is>
          <t>El documento DOC-0032 indica que se debe revisar condiciones de pago, validar antecedentes y coordinar acciones con el área TI.</t>
        </is>
      </c>
      <c r="P33" t="inlineStr">
        <is>
          <t>DOC-0032_Oficio.pdf</t>
        </is>
      </c>
      <c r="Q33" t="inlineStr">
        <is>
          <t>Registro sintético para entrenamiento inicial del agente documental.</t>
        </is>
      </c>
    </row>
    <row r="34">
      <c r="A34" t="inlineStr">
        <is>
          <t>DOC-0033</t>
        </is>
      </c>
      <c r="B34" t="inlineStr">
        <is>
          <t>Oficio</t>
        </is>
      </c>
      <c r="C34" t="inlineStr">
        <is>
          <t>Oficio sobre gestión operativa - Ositran</t>
        </is>
      </c>
      <c r="D34" s="7" t="n">
        <v>45712</v>
      </c>
      <c r="E34" t="inlineStr">
        <is>
          <t>Ositran</t>
        </is>
      </c>
      <c r="F34" t="inlineStr">
        <is>
          <t>Operaciones</t>
        </is>
      </c>
      <c r="G34" t="inlineStr">
        <is>
          <t>Operaciones</t>
        </is>
      </c>
      <c r="H34" t="inlineStr">
        <is>
          <t>Pendiente</t>
        </is>
      </c>
      <c r="I34" t="inlineStr">
        <is>
          <t>Confidencial</t>
        </is>
      </c>
      <c r="J34" t="inlineStr">
        <is>
          <t>Media</t>
        </is>
      </c>
      <c r="K34" t="inlineStr">
        <is>
          <t>El presente documento corresponde a un oficio emitido por Ositran, relacionado con gestión operativa, priorización y atención de solicitudes.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4" t="inlineStr">
        <is>
          <t>Oficio de Ositran asociado a gestión operativa y gestionado por Operaciones.</t>
        </is>
      </c>
      <c r="M34" t="inlineStr">
        <is>
          <t>Operaciones, Oficio, gestión operativa, priorización, atención de solicitudes</t>
        </is>
      </c>
      <c r="N34" t="inlineStr">
        <is>
          <t>¿Qué indica el documento DOC-0033 sobre gestión operativa?</t>
        </is>
      </c>
      <c r="O34" t="inlineStr">
        <is>
          <t>El documento DOC-0033 indica que se debe revisar gestión operativa, validar antecedentes y coordinar acciones con el área Operaciones.</t>
        </is>
      </c>
      <c r="P34" t="inlineStr">
        <is>
          <t>DOC-0033_Oficio.pdf</t>
        </is>
      </c>
      <c r="Q34" t="inlineStr">
        <is>
          <t>Registro sintético para entrenamiento inicial del agente documental.</t>
        </is>
      </c>
    </row>
    <row r="35">
      <c r="A35" t="inlineStr">
        <is>
          <t>DOC-0034</t>
        </is>
      </c>
      <c r="B35" t="inlineStr">
        <is>
          <t>Carta</t>
        </is>
      </c>
      <c r="C35" t="inlineStr">
        <is>
          <t>Carta sobre tiempo de atención - Ositran</t>
        </is>
      </c>
      <c r="D35" s="7" t="n">
        <v>45943</v>
      </c>
      <c r="E35" t="inlineStr">
        <is>
          <t>Ositran</t>
        </is>
      </c>
      <c r="F35" t="inlineStr">
        <is>
          <t>TI</t>
        </is>
      </c>
      <c r="G35" t="inlineStr">
        <is>
          <t>Soporte</t>
        </is>
      </c>
      <c r="H35" t="inlineStr">
        <is>
          <t>Vigente</t>
        </is>
      </c>
      <c r="I35" t="inlineStr">
        <is>
          <t>Interno</t>
        </is>
      </c>
      <c r="J35" t="inlineStr">
        <is>
          <t>Crítica</t>
        </is>
      </c>
      <c r="K35" t="inlineStr">
        <is>
          <t>El presente documento corresponde a un carta emitido por Ositran, relacionado con tiempo de atención, mesa de ayuda y escalamiento. El área responsable es TI.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5" t="inlineStr">
        <is>
          <t>Carta de Ositran asociado a tiempo de atención y gestionado por TI.</t>
        </is>
      </c>
      <c r="M35" t="inlineStr">
        <is>
          <t>Soporte, Carta, tiempo de atención, mesa de ayuda, escalamiento</t>
        </is>
      </c>
      <c r="N35" t="inlineStr">
        <is>
          <t>¿Qué indica el documento DOC-0034 sobre tiempo de atención?</t>
        </is>
      </c>
      <c r="O35" t="inlineStr">
        <is>
          <t>El documento DOC-0034 indica que se debe revisar tiempo de atención, validar antecedentes y coordinar acciones con el área TI.</t>
        </is>
      </c>
      <c r="P35" t="inlineStr">
        <is>
          <t>DOC-0034_Carta.pdf</t>
        </is>
      </c>
      <c r="Q35" t="inlineStr">
        <is>
          <t>Registro sintético para entrenamiento inicial del agente documental.</t>
        </is>
      </c>
    </row>
    <row r="36">
      <c r="A36" t="inlineStr">
        <is>
          <t>DOC-0035</t>
        </is>
      </c>
      <c r="B36" t="inlineStr">
        <is>
          <t>Contrato</t>
        </is>
      </c>
      <c r="C36" t="inlineStr">
        <is>
          <t>Contrato sobre base de datos - BTG</t>
        </is>
      </c>
      <c r="D36" s="7" t="n">
        <v>45684</v>
      </c>
      <c r="E36" t="inlineStr">
        <is>
          <t>BTG</t>
        </is>
      </c>
      <c r="F36" t="inlineStr">
        <is>
          <t>Operaciones</t>
        </is>
      </c>
      <c r="G36" t="inlineStr">
        <is>
          <t>Técnico</t>
        </is>
      </c>
      <c r="H36" t="inlineStr">
        <is>
          <t>Observado</t>
        </is>
      </c>
      <c r="I36" t="inlineStr">
        <is>
          <t>Interno</t>
        </is>
      </c>
      <c r="J36" t="inlineStr">
        <is>
          <t>Baja</t>
        </is>
      </c>
      <c r="K36" t="inlineStr">
        <is>
          <t>El presente documento corresponde a un contrato emitido por BTG, relacionado con base de datos, disponibilidad y seguridad. El área responsable es Operaciones.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6" t="inlineStr">
        <is>
          <t>Contrato de BTG asociado a base de datos y gestionado por Operaciones.</t>
        </is>
      </c>
      <c r="M36" t="inlineStr">
        <is>
          <t>Técnico, Contrato, base de datos, disponibilidad, seguridad</t>
        </is>
      </c>
      <c r="N36" t="inlineStr">
        <is>
          <t>¿Qué indica el documento DOC-0035 sobre base de datos?</t>
        </is>
      </c>
      <c r="O36" t="inlineStr">
        <is>
          <t>El documento DOC-0035 indica que se debe revisar base de datos, validar antecedentes y coordinar acciones con el área Operaciones.</t>
        </is>
      </c>
      <c r="P36" t="inlineStr">
        <is>
          <t>DOC-0035_Contrato.pdf</t>
        </is>
      </c>
      <c r="Q36" t="inlineStr">
        <is>
          <t>Registro sintético para entrenamiento inicial del agente documental.</t>
        </is>
      </c>
    </row>
    <row r="37">
      <c r="A37" t="inlineStr">
        <is>
          <t>DOC-0036</t>
        </is>
      </c>
      <c r="B37" t="inlineStr">
        <is>
          <t>Carta</t>
        </is>
      </c>
      <c r="C37" t="inlineStr">
        <is>
          <t>Carta sobre derivación interna - Grupo Gloria</t>
        </is>
      </c>
      <c r="D37" s="7" t="n">
        <v>45948</v>
      </c>
      <c r="E37" t="inlineStr">
        <is>
          <t>Grupo Gloria</t>
        </is>
      </c>
      <c r="F37" t="inlineStr">
        <is>
          <t>TI</t>
        </is>
      </c>
      <c r="G37" t="inlineStr">
        <is>
          <t>Administrativo</t>
        </is>
      </c>
      <c r="H37" t="inlineStr">
        <is>
          <t>Vigente</t>
        </is>
      </c>
      <c r="I37" t="inlineStr">
        <is>
          <t>Interno</t>
        </is>
      </c>
      <c r="J37" t="inlineStr">
        <is>
          <t>Media</t>
        </is>
      </c>
      <c r="K37" t="inlineStr">
        <is>
          <t>El presente documento corresponde a un carta emitido por Grupo Gloria, relacionado con derivación interna, registro documentario y aprobación. El área responsable es TI.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7" t="inlineStr">
        <is>
          <t>Carta de Grupo Gloria asociado a derivación interna y gestionado por TI.</t>
        </is>
      </c>
      <c r="M37" t="inlineStr">
        <is>
          <t>Administrativo, Carta, derivación interna, registro documentario, aprobación</t>
        </is>
      </c>
      <c r="N37" t="inlineStr">
        <is>
          <t>¿Qué indica el documento DOC-0036 sobre derivación interna?</t>
        </is>
      </c>
      <c r="O37" t="inlineStr">
        <is>
          <t>El documento DOC-0036 indica que se debe revisar derivación interna, validar antecedentes y coordinar acciones con el área TI.</t>
        </is>
      </c>
      <c r="P37" t="inlineStr">
        <is>
          <t>DOC-0036_Carta.pdf</t>
        </is>
      </c>
      <c r="Q37" t="inlineStr">
        <is>
          <t>Registro sintético para entrenamiento inicial del agente documental.</t>
        </is>
      </c>
    </row>
    <row r="38">
      <c r="A38" t="inlineStr">
        <is>
          <t>DOC-0037</t>
        </is>
      </c>
      <c r="B38" t="inlineStr">
        <is>
          <t>Resolución</t>
        </is>
      </c>
      <c r="C38" t="inlineStr">
        <is>
          <t>Resolución sobre vigencia contractual - Cliente Privado</t>
        </is>
      </c>
      <c r="D38" s="7" t="n">
        <v>46001</v>
      </c>
      <c r="E38" t="inlineStr">
        <is>
          <t>Cliente Privado</t>
        </is>
      </c>
      <c r="F38" t="inlineStr">
        <is>
          <t>Gestión Documental</t>
        </is>
      </c>
      <c r="G38" t="inlineStr">
        <is>
          <t>Legal</t>
        </is>
      </c>
      <c r="H38" t="inlineStr">
        <is>
          <t>Archivado</t>
        </is>
      </c>
      <c r="I38" t="inlineStr">
        <is>
          <t>Confidencial</t>
        </is>
      </c>
      <c r="J38" t="inlineStr">
        <is>
          <t>Crítica</t>
        </is>
      </c>
      <c r="K38" t="inlineStr">
        <is>
          <t>El presente documento corresponde a un resolución emitido por Cliente Privado, relacionado con vigencia contractual, cláusulas de servicio y obligaciones contractuales.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8" t="inlineStr">
        <is>
          <t>Resolución de Cliente Privado asociado a vigencia contractual y gestionado por Gestión Documental.</t>
        </is>
      </c>
      <c r="M38" t="inlineStr">
        <is>
          <t>Legal, Resolución, vigencia contractual, cláusulas de servicio, obligaciones contractuales</t>
        </is>
      </c>
      <c r="N38" t="inlineStr">
        <is>
          <t>¿Qué indica el documento DOC-0037 sobre vigencia contractual?</t>
        </is>
      </c>
      <c r="O38" t="inlineStr">
        <is>
          <t>El documento DOC-0037 indica que se debe revisar vigencia contractual, validar antecedentes y coordinar acciones con el área Gestión Documental.</t>
        </is>
      </c>
      <c r="P38" t="inlineStr">
        <is>
          <t>DOC-0037_Resolución.pdf</t>
        </is>
      </c>
      <c r="Q38" t="inlineStr">
        <is>
          <t>Registro sintético para entrenamiento inicial del agente documental.</t>
        </is>
      </c>
    </row>
    <row r="39">
      <c r="A39" t="inlineStr">
        <is>
          <t>DOC-0038</t>
        </is>
      </c>
      <c r="B39" t="inlineStr">
        <is>
          <t>Reclamo</t>
        </is>
      </c>
      <c r="C39" t="inlineStr">
        <is>
          <t>Reclamo sobre escalamiento - UTP</t>
        </is>
      </c>
      <c r="D39" s="7" t="n">
        <v>45877</v>
      </c>
      <c r="E39" t="inlineStr">
        <is>
          <t>UTP</t>
        </is>
      </c>
      <c r="F39" t="inlineStr">
        <is>
          <t>Legal</t>
        </is>
      </c>
      <c r="G39" t="inlineStr">
        <is>
          <t>Soporte</t>
        </is>
      </c>
      <c r="H39" t="inlineStr">
        <is>
          <t>En revisión</t>
        </is>
      </c>
      <c r="I39" t="inlineStr">
        <is>
          <t>Público</t>
        </is>
      </c>
      <c r="J39" t="inlineStr">
        <is>
          <t>Baja</t>
        </is>
      </c>
      <c r="K39" t="inlineStr">
        <is>
          <t>El presente documento corresponde a un reclamo emitido por UTP, relacionado con escalamiento, cierre de ticket y tiempo de atención. El área responsable es Legal.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39" t="inlineStr">
        <is>
          <t>Reclamo de UTP asociado a escalamiento y gestionado por Legal.</t>
        </is>
      </c>
      <c r="M39" t="inlineStr">
        <is>
          <t>Soporte, Reclamo, escalamiento, cierre de ticket, tiempo de atención</t>
        </is>
      </c>
      <c r="N39" t="inlineStr">
        <is>
          <t>¿Qué indica el documento DOC-0038 sobre escalamiento?</t>
        </is>
      </c>
      <c r="O39" t="inlineStr">
        <is>
          <t>El documento DOC-0038 indica que se debe revisar escalamiento, validar antecedentes y coordinar acciones con el área Legal.</t>
        </is>
      </c>
      <c r="P39" t="inlineStr">
        <is>
          <t>DOC-0038_Reclamo.pdf</t>
        </is>
      </c>
      <c r="Q39" t="inlineStr">
        <is>
          <t>Registro sintético para entrenamiento inicial del agente documental.</t>
        </is>
      </c>
    </row>
    <row r="40">
      <c r="A40" t="inlineStr">
        <is>
          <t>DOC-0039</t>
        </is>
      </c>
      <c r="B40" t="inlineStr">
        <is>
          <t>Acta</t>
        </is>
      </c>
      <c r="C40" t="inlineStr">
        <is>
          <t>Acta sobre monto - Ositran</t>
        </is>
      </c>
      <c r="D40" s="7" t="n">
        <v>45938</v>
      </c>
      <c r="E40" t="inlineStr">
        <is>
          <t>Ositran</t>
        </is>
      </c>
      <c r="F40" t="inlineStr">
        <is>
          <t>Operaciones</t>
        </is>
      </c>
      <c r="G40" t="inlineStr">
        <is>
          <t>Financiero</t>
        </is>
      </c>
      <c r="H40" t="inlineStr">
        <is>
          <t>Vigente</t>
        </is>
      </c>
      <c r="I40" t="inlineStr">
        <is>
          <t>Confidencial</t>
        </is>
      </c>
      <c r="J40" t="inlineStr">
        <is>
          <t>Baja</t>
        </is>
      </c>
      <c r="K40" t="inlineStr">
        <is>
          <t>El presente documento corresponde a un acta emitido por Ositran, relacionado con monto, cronograma de pagos y facturación. El área responsable es Operaciones.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0" t="inlineStr">
        <is>
          <t>Acta de Ositran asociado a monto y gestionado por Operaciones.</t>
        </is>
      </c>
      <c r="M40" t="inlineStr">
        <is>
          <t>Financiero, Acta, monto, cronograma de pagos, facturación</t>
        </is>
      </c>
      <c r="N40" t="inlineStr">
        <is>
          <t>¿Qué indica el documento DOC-0039 sobre monto?</t>
        </is>
      </c>
      <c r="O40" t="inlineStr">
        <is>
          <t>El documento DOC-0039 indica que se debe revisar monto, validar antecedentes y coordinar acciones con el área Operaciones.</t>
        </is>
      </c>
      <c r="P40" t="inlineStr">
        <is>
          <t>DOC-0039_Acta.pdf</t>
        </is>
      </c>
      <c r="Q40" t="inlineStr">
        <is>
          <t>Registro sintético para entrenamiento inicial del agente documental.</t>
        </is>
      </c>
    </row>
    <row r="41">
      <c r="A41" t="inlineStr">
        <is>
          <t>DOC-0040</t>
        </is>
      </c>
      <c r="B41" t="inlineStr">
        <is>
          <t>Expediente</t>
        </is>
      </c>
      <c r="C41" t="inlineStr">
        <is>
          <t>Expediente sobre facturación - OEFA</t>
        </is>
      </c>
      <c r="D41" s="7" t="n">
        <v>45783</v>
      </c>
      <c r="E41" t="inlineStr">
        <is>
          <t>OEFA</t>
        </is>
      </c>
      <c r="F41" t="inlineStr">
        <is>
          <t>Gestión Documental</t>
        </is>
      </c>
      <c r="G41" t="inlineStr">
        <is>
          <t>Financiero</t>
        </is>
      </c>
      <c r="H41" t="inlineStr">
        <is>
          <t>Archivado</t>
        </is>
      </c>
      <c r="I41" t="inlineStr">
        <is>
          <t>Interno</t>
        </is>
      </c>
      <c r="J41" t="inlineStr">
        <is>
          <t>Alta</t>
        </is>
      </c>
      <c r="K41" t="inlineStr">
        <is>
          <t>El presente documento corresponde a un expediente emitido por OEFA, relacionado con facturación, monto y validación contable.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1" t="inlineStr">
        <is>
          <t>Expediente de OEFA asociado a facturación y gestionado por Gestión Documental.</t>
        </is>
      </c>
      <c r="M41" t="inlineStr">
        <is>
          <t>Financiero, Expediente, facturación, monto, validación contable</t>
        </is>
      </c>
      <c r="N41" t="inlineStr">
        <is>
          <t>¿Qué indica el documento DOC-0040 sobre facturación?</t>
        </is>
      </c>
      <c r="O41" t="inlineStr">
        <is>
          <t>El documento DOC-0040 indica que se debe revisar facturación, validar antecedentes y coordinar acciones con el área Gestión Documental.</t>
        </is>
      </c>
      <c r="P41" t="inlineStr">
        <is>
          <t>DOC-0040_Expediente.pdf</t>
        </is>
      </c>
      <c r="Q41" t="inlineStr">
        <is>
          <t>Registro sintético para entrenamiento inicial del agente documental.</t>
        </is>
      </c>
    </row>
    <row r="42">
      <c r="A42" t="inlineStr">
        <is>
          <t>DOC-0041</t>
        </is>
      </c>
      <c r="B42" t="inlineStr">
        <is>
          <t>Acta</t>
        </is>
      </c>
      <c r="C42" t="inlineStr">
        <is>
          <t>Acta sobre orden de compra - Grupo Gloria</t>
        </is>
      </c>
      <c r="D42" s="7" t="n">
        <v>45744</v>
      </c>
      <c r="E42" t="inlineStr">
        <is>
          <t>Grupo Gloria</t>
        </is>
      </c>
      <c r="F42" t="inlineStr">
        <is>
          <t>Legal</t>
        </is>
      </c>
      <c r="G42" t="inlineStr">
        <is>
          <t>Financiero</t>
        </is>
      </c>
      <c r="H42" t="inlineStr">
        <is>
          <t>Archivado</t>
        </is>
      </c>
      <c r="I42" t="inlineStr">
        <is>
          <t>Público</t>
        </is>
      </c>
      <c r="J42" t="inlineStr">
        <is>
          <t>Alta</t>
        </is>
      </c>
      <c r="K42" t="inlineStr">
        <is>
          <t>El presente documento corresponde a un acta emitido por Grupo Gloria, relacionado con orden de compra, cronograma de pagos y monto. El área responsable es Legal.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2" t="inlineStr">
        <is>
          <t>Acta de Grupo Gloria asociado a orden de compra y gestionado por Legal.</t>
        </is>
      </c>
      <c r="M42" t="inlineStr">
        <is>
          <t>Financiero, Acta, orden de compra, cronograma de pagos, monto</t>
        </is>
      </c>
      <c r="N42" t="inlineStr">
        <is>
          <t>¿Qué indica el documento DOC-0041 sobre orden de compra?</t>
        </is>
      </c>
      <c r="O42" t="inlineStr">
        <is>
          <t>El documento DOC-0041 indica que se debe revisar orden de compra, validar antecedentes y coordinar acciones con el área Legal.</t>
        </is>
      </c>
      <c r="P42" t="inlineStr">
        <is>
          <t>DOC-0041_Acta.pdf</t>
        </is>
      </c>
      <c r="Q42" t="inlineStr">
        <is>
          <t>Registro sintético para entrenamiento inicial del agente documental.</t>
        </is>
      </c>
    </row>
    <row r="43">
      <c r="A43" t="inlineStr">
        <is>
          <t>DOC-0042</t>
        </is>
      </c>
      <c r="B43" t="inlineStr">
        <is>
          <t>Expediente</t>
        </is>
      </c>
      <c r="C43" t="inlineStr">
        <is>
          <t>Expediente sobre base de datos - BTG</t>
        </is>
      </c>
      <c r="D43" s="7" t="n">
        <v>45983</v>
      </c>
      <c r="E43" t="inlineStr">
        <is>
          <t>BTG</t>
        </is>
      </c>
      <c r="F43" t="inlineStr">
        <is>
          <t>Legal</t>
        </is>
      </c>
      <c r="G43" t="inlineStr">
        <is>
          <t>Técnico</t>
        </is>
      </c>
      <c r="H43" t="inlineStr">
        <is>
          <t>Observado</t>
        </is>
      </c>
      <c r="I43" t="inlineStr">
        <is>
          <t>Interno</t>
        </is>
      </c>
      <c r="J43" t="inlineStr">
        <is>
          <t>Crítica</t>
        </is>
      </c>
      <c r="K43" t="inlineStr">
        <is>
          <t>El presente documento corresponde a un expediente emitido por BTG, relacionado con base de datos, arquitectura tecnológica y integración de sistemas. El área responsable es Legal.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3" t="inlineStr">
        <is>
          <t>Expediente de BTG asociado a base de datos y gestionado por Legal.</t>
        </is>
      </c>
      <c r="M43" t="inlineStr">
        <is>
          <t>Técnico, Expediente, base de datos, arquitectura tecnológica, integración de sistemas</t>
        </is>
      </c>
      <c r="N43" t="inlineStr">
        <is>
          <t>¿Qué indica el documento DOC-0042 sobre base de datos?</t>
        </is>
      </c>
      <c r="O43" t="inlineStr">
        <is>
          <t>El documento DOC-0042 indica que se debe revisar base de datos, validar antecedentes y coordinar acciones con el área Legal.</t>
        </is>
      </c>
      <c r="P43" t="inlineStr">
        <is>
          <t>DOC-0042_Expediente.pdf</t>
        </is>
      </c>
      <c r="Q43" t="inlineStr">
        <is>
          <t>Registro sintético para entrenamiento inicial del agente documental.</t>
        </is>
      </c>
    </row>
    <row r="44">
      <c r="A44" t="inlineStr">
        <is>
          <t>DOC-0043</t>
        </is>
      </c>
      <c r="B44" t="inlineStr">
        <is>
          <t>Memorando</t>
        </is>
      </c>
      <c r="C44" t="inlineStr">
        <is>
          <t>Memorando sobre incidente reportado - OEFA</t>
        </is>
      </c>
      <c r="D44" s="7" t="n">
        <v>45937</v>
      </c>
      <c r="E44" t="inlineStr">
        <is>
          <t>OEFA</t>
        </is>
      </c>
      <c r="F44" t="inlineStr">
        <is>
          <t>QA</t>
        </is>
      </c>
      <c r="G44" t="inlineStr">
        <is>
          <t>Soporte</t>
        </is>
      </c>
      <c r="H44" t="inlineStr">
        <is>
          <t>Archivado</t>
        </is>
      </c>
      <c r="I44" t="inlineStr">
        <is>
          <t>Confidencial</t>
        </is>
      </c>
      <c r="J44" t="inlineStr">
        <is>
          <t>Alta</t>
        </is>
      </c>
      <c r="K44" t="inlineStr">
        <is>
          <t>El presente documento corresponde a un memorando emitido por OEFA, relacionado con incidente reportado, mesa de ayuda y escalamiento.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4" t="inlineStr">
        <is>
          <t>Memorando de OEFA asociado a incidente reportado y gestionado por QA.</t>
        </is>
      </c>
      <c r="M44" t="inlineStr">
        <is>
          <t>Soporte, Memorando, incidente reportado, mesa de ayuda, escalamiento</t>
        </is>
      </c>
      <c r="N44" t="inlineStr">
        <is>
          <t>¿Qué indica el documento DOC-0043 sobre incidente reportado?</t>
        </is>
      </c>
      <c r="O44" t="inlineStr">
        <is>
          <t>El documento DOC-0043 indica que se debe revisar incidente reportado, validar antecedentes y coordinar acciones con el área QA.</t>
        </is>
      </c>
      <c r="P44" t="inlineStr">
        <is>
          <t>DOC-0043_Memorando.pdf</t>
        </is>
      </c>
      <c r="Q44" t="inlineStr">
        <is>
          <t>Registro sintético para entrenamiento inicial del agente documental.</t>
        </is>
      </c>
    </row>
    <row r="45">
      <c r="A45" t="inlineStr">
        <is>
          <t>DOC-0044</t>
        </is>
      </c>
      <c r="B45" t="inlineStr">
        <is>
          <t>Resolución</t>
        </is>
      </c>
      <c r="C45" t="inlineStr">
        <is>
          <t>Resolución sobre cronograma de pagos - Cliente Privado</t>
        </is>
      </c>
      <c r="D45" s="7" t="n">
        <v>45803</v>
      </c>
      <c r="E45" t="inlineStr">
        <is>
          <t>Cliente Privado</t>
        </is>
      </c>
      <c r="F45" t="inlineStr">
        <is>
          <t>Gestión Documental</t>
        </is>
      </c>
      <c r="G45" t="inlineStr">
        <is>
          <t>Financiero</t>
        </is>
      </c>
      <c r="H45" t="inlineStr">
        <is>
          <t>Pendiente</t>
        </is>
      </c>
      <c r="I45" t="inlineStr">
        <is>
          <t>Confidencial</t>
        </is>
      </c>
      <c r="J45" t="inlineStr">
        <is>
          <t>Crítica</t>
        </is>
      </c>
      <c r="K45" t="inlineStr">
        <is>
          <t>El presente documento corresponde a un resolución emitido por Cliente Privado, relacionado con cronograma de pagos, facturación y orden de compra. El área responsable es Gestión Documental.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5" t="inlineStr">
        <is>
          <t>Resolución de Cliente Privado asociado a cronograma de pagos y gestionado por Gestión Documental.</t>
        </is>
      </c>
      <c r="M45" t="inlineStr">
        <is>
          <t>Financiero, Resolución, cronograma de pagos, facturación, orden de compra</t>
        </is>
      </c>
      <c r="N45" t="inlineStr">
        <is>
          <t>¿Qué indica el documento DOC-0044 sobre cronograma de pagos?</t>
        </is>
      </c>
      <c r="O45" t="inlineStr">
        <is>
          <t>El documento DOC-0044 indica que se debe revisar cronograma de pagos, validar antecedentes y coordinar acciones con el área Gestión Documental.</t>
        </is>
      </c>
      <c r="P45" t="inlineStr">
        <is>
          <t>DOC-0044_Resolución.pdf</t>
        </is>
      </c>
      <c r="Q45" t="inlineStr">
        <is>
          <t>Registro sintético para entrenamiento inicial del agente documental.</t>
        </is>
      </c>
    </row>
    <row r="46">
      <c r="A46" t="inlineStr">
        <is>
          <t>DOC-0045</t>
        </is>
      </c>
      <c r="B46" t="inlineStr">
        <is>
          <t>Contrato</t>
        </is>
      </c>
      <c r="C46" t="inlineStr">
        <is>
          <t>Contrato sobre disponibilidad - COES</t>
        </is>
      </c>
      <c r="D46" s="7" t="n">
        <v>45736</v>
      </c>
      <c r="E46" t="inlineStr">
        <is>
          <t>COES</t>
        </is>
      </c>
      <c r="F46" t="inlineStr">
        <is>
          <t>TI</t>
        </is>
      </c>
      <c r="G46" t="inlineStr">
        <is>
          <t>Técnico</t>
        </is>
      </c>
      <c r="H46" t="inlineStr">
        <is>
          <t>Pendiente</t>
        </is>
      </c>
      <c r="I46" t="inlineStr">
        <is>
          <t>Interno</t>
        </is>
      </c>
      <c r="J46" t="inlineStr">
        <is>
          <t>Media</t>
        </is>
      </c>
      <c r="K46" t="inlineStr">
        <is>
          <t>El presente documento corresponde a un contrato emitido por COES, relacionado con disponibilidad, integración de sistemas y base de datos. El área responsable es TI.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6" t="inlineStr">
        <is>
          <t>Contrato de COES asociado a disponibilidad y gestionado por TI.</t>
        </is>
      </c>
      <c r="M46" t="inlineStr">
        <is>
          <t>Técnico, Contrato, disponibilidad, integración de sistemas, base de datos</t>
        </is>
      </c>
      <c r="N46" t="inlineStr">
        <is>
          <t>¿Qué indica el documento DOC-0045 sobre disponibilidad?</t>
        </is>
      </c>
      <c r="O46" t="inlineStr">
        <is>
          <t>El documento DOC-0045 indica que se debe revisar disponibilidad, validar antecedentes y coordinar acciones con el área TI.</t>
        </is>
      </c>
      <c r="P46" t="inlineStr">
        <is>
          <t>DOC-0045_Contrato.pdf</t>
        </is>
      </c>
      <c r="Q46" t="inlineStr">
        <is>
          <t>Registro sintético para entrenamiento inicial del agente documental.</t>
        </is>
      </c>
    </row>
    <row r="47">
      <c r="A47" t="inlineStr">
        <is>
          <t>DOC-0046</t>
        </is>
      </c>
      <c r="B47" t="inlineStr">
        <is>
          <t>Memorando</t>
        </is>
      </c>
      <c r="C47" t="inlineStr">
        <is>
          <t>Memorando sobre disponibilidad - Ositran</t>
        </is>
      </c>
      <c r="D47" s="7" t="n">
        <v>46063</v>
      </c>
      <c r="E47" t="inlineStr">
        <is>
          <t>Ositran</t>
        </is>
      </c>
      <c r="F47" t="inlineStr">
        <is>
          <t>Operaciones</t>
        </is>
      </c>
      <c r="G47" t="inlineStr">
        <is>
          <t>Técnico</t>
        </is>
      </c>
      <c r="H47" t="inlineStr">
        <is>
          <t>Pendiente</t>
        </is>
      </c>
      <c r="I47" t="inlineStr">
        <is>
          <t>Público</t>
        </is>
      </c>
      <c r="J47" t="inlineStr">
        <is>
          <t>Alta</t>
        </is>
      </c>
      <c r="K47" t="inlineStr">
        <is>
          <t>El presente documento corresponde a un memorando emitido por Ositran, relacionado con disponibilidad, arquitectura tecnológica y integración de sistemas.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7" t="inlineStr">
        <is>
          <t>Memorando de Ositran asociado a disponibilidad y gestionado por Operaciones.</t>
        </is>
      </c>
      <c r="M47" t="inlineStr">
        <is>
          <t>Técnico, Memorando, disponibilidad, arquitectura tecnológica, integración de sistemas</t>
        </is>
      </c>
      <c r="N47" t="inlineStr">
        <is>
          <t>¿Qué indica el documento DOC-0046 sobre disponibilidad?</t>
        </is>
      </c>
      <c r="O47" t="inlineStr">
        <is>
          <t>El documento DOC-0046 indica que se debe revisar disponibilidad, validar antecedentes y coordinar acciones con el área Operaciones.</t>
        </is>
      </c>
      <c r="P47" t="inlineStr">
        <is>
          <t>DOC-0046_Memorando.pdf</t>
        </is>
      </c>
      <c r="Q47" t="inlineStr">
        <is>
          <t>Registro sintético para entrenamiento inicial del agente documental.</t>
        </is>
      </c>
    </row>
    <row r="48">
      <c r="A48" t="inlineStr">
        <is>
          <t>DOC-0047</t>
        </is>
      </c>
      <c r="B48" t="inlineStr">
        <is>
          <t>Reclamo</t>
        </is>
      </c>
      <c r="C48" t="inlineStr">
        <is>
          <t>Reclamo sobre alcance comercial - Ositran</t>
        </is>
      </c>
      <c r="D48" s="7" t="n">
        <v>46079</v>
      </c>
      <c r="E48" t="inlineStr">
        <is>
          <t>Ositran</t>
        </is>
      </c>
      <c r="F48" t="inlineStr">
        <is>
          <t>QA</t>
        </is>
      </c>
      <c r="G48" t="inlineStr">
        <is>
          <t>Comercial</t>
        </is>
      </c>
      <c r="H48" t="inlineStr">
        <is>
          <t>En revisión</t>
        </is>
      </c>
      <c r="I48" t="inlineStr">
        <is>
          <t>Confidencial</t>
        </is>
      </c>
      <c r="J48" t="inlineStr">
        <is>
          <t>Media</t>
        </is>
      </c>
      <c r="K48" t="inlineStr">
        <is>
          <t>El presente documento corresponde a un reclamo emitido por Ositran, relacionado con alcance comercial, renovación y servicio contratado. El área responsable es QA.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8" t="inlineStr">
        <is>
          <t>Reclamo de Ositran asociado a alcance comercial y gestionado por QA.</t>
        </is>
      </c>
      <c r="M48" t="inlineStr">
        <is>
          <t>Comercial, Reclamo, alcance comercial, renovación, servicio contratado</t>
        </is>
      </c>
      <c r="N48" t="inlineStr">
        <is>
          <t>¿Qué indica el documento DOC-0047 sobre alcance comercial?</t>
        </is>
      </c>
      <c r="O48" t="inlineStr">
        <is>
          <t>El documento DOC-0047 indica que se debe revisar alcance comercial, validar antecedentes y coordinar acciones con el área QA.</t>
        </is>
      </c>
      <c r="P48" t="inlineStr">
        <is>
          <t>DOC-0047_Reclamo.pdf</t>
        </is>
      </c>
      <c r="Q48" t="inlineStr">
        <is>
          <t>Registro sintético para entrenamiento inicial del agente documental.</t>
        </is>
      </c>
    </row>
    <row r="49">
      <c r="A49" t="inlineStr">
        <is>
          <t>DOC-0048</t>
        </is>
      </c>
      <c r="B49" t="inlineStr">
        <is>
          <t>Acta</t>
        </is>
      </c>
      <c r="C49" t="inlineStr">
        <is>
          <t>Acta sobre alcance comercial - UTP</t>
        </is>
      </c>
      <c r="D49" s="7" t="n">
        <v>46078</v>
      </c>
      <c r="E49" t="inlineStr">
        <is>
          <t>UTP</t>
        </is>
      </c>
      <c r="F49" t="inlineStr">
        <is>
          <t>Legal</t>
        </is>
      </c>
      <c r="G49" t="inlineStr">
        <is>
          <t>Comercial</t>
        </is>
      </c>
      <c r="H49" t="inlineStr">
        <is>
          <t>Vigente</t>
        </is>
      </c>
      <c r="I49" t="inlineStr">
        <is>
          <t>Interno</t>
        </is>
      </c>
      <c r="J49" t="inlineStr">
        <is>
          <t>Media</t>
        </is>
      </c>
      <c r="K49" t="inlineStr">
        <is>
          <t>El presente documento corresponde a un acta emitido por UTP, relacionado con alcance comercial, renovación y propuesta económica. El área responsable es Legal.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49" t="inlineStr">
        <is>
          <t>Acta de UTP asociado a alcance comercial y gestionado por Legal.</t>
        </is>
      </c>
      <c r="M49" t="inlineStr">
        <is>
          <t>Comercial, Acta, alcance comercial, renovación, propuesta económica</t>
        </is>
      </c>
      <c r="N49" t="inlineStr">
        <is>
          <t>¿Qué indica el documento DOC-0048 sobre alcance comercial?</t>
        </is>
      </c>
      <c r="O49" t="inlineStr">
        <is>
          <t>El documento DOC-0048 indica que se debe revisar alcance comercial, validar antecedentes y coordinar acciones con el área Legal.</t>
        </is>
      </c>
      <c r="P49" t="inlineStr">
        <is>
          <t>DOC-0048_Acta.pdf</t>
        </is>
      </c>
      <c r="Q49" t="inlineStr">
        <is>
          <t>Registro sintético para entrenamiento inicial del agente documental.</t>
        </is>
      </c>
    </row>
    <row r="50">
      <c r="A50" t="inlineStr">
        <is>
          <t>DOC-0049</t>
        </is>
      </c>
      <c r="B50" t="inlineStr">
        <is>
          <t>Solicitud</t>
        </is>
      </c>
      <c r="C50" t="inlineStr">
        <is>
          <t>Solicitud sobre clasificación documental - Minam</t>
        </is>
      </c>
      <c r="D50" s="7" t="n">
        <v>46172</v>
      </c>
      <c r="E50" t="inlineStr">
        <is>
          <t>Minam</t>
        </is>
      </c>
      <c r="F50" t="inlineStr">
        <is>
          <t>TI</t>
        </is>
      </c>
      <c r="G50" t="inlineStr">
        <is>
          <t>Gestión Documental</t>
        </is>
      </c>
      <c r="H50" t="inlineStr">
        <is>
          <t>Observado</t>
        </is>
      </c>
      <c r="I50" t="inlineStr">
        <is>
          <t>Público</t>
        </is>
      </c>
      <c r="J50" t="inlineStr">
        <is>
          <t>Media</t>
        </is>
      </c>
      <c r="K50" t="inlineStr">
        <is>
          <t>El presente documento corresponde a un solicitud emitido por Minam, relacionado con clasificación documental, metadatos y búsqueda semántica. El área responsable es TI.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0" t="inlineStr">
        <is>
          <t>Solicitud de Minam asociado a clasificación documental y gestionado por TI.</t>
        </is>
      </c>
      <c r="M50" t="inlineStr">
        <is>
          <t>Gestión Documental, Solicitud, clasificación documental, metadatos, búsqueda semántica</t>
        </is>
      </c>
      <c r="N50" t="inlineStr">
        <is>
          <t>¿Qué indica el documento DOC-0049 sobre clasificación documental?</t>
        </is>
      </c>
      <c r="O50" t="inlineStr">
        <is>
          <t>El documento DOC-0049 indica que se debe revisar clasificación documental, validar antecedentes y coordinar acciones con el área TI.</t>
        </is>
      </c>
      <c r="P50" t="inlineStr">
        <is>
          <t>DOC-0049_Solicitud.pdf</t>
        </is>
      </c>
      <c r="Q50" t="inlineStr">
        <is>
          <t>Registro sintético para entrenamiento inicial del agente documental.</t>
        </is>
      </c>
    </row>
    <row r="51">
      <c r="A51" t="inlineStr">
        <is>
          <t>DOC-0050</t>
        </is>
      </c>
      <c r="B51" t="inlineStr">
        <is>
          <t>Contrato</t>
        </is>
      </c>
      <c r="C51" t="inlineStr">
        <is>
          <t>Contrato sobre cierre de ticket - Luz del Sur</t>
        </is>
      </c>
      <c r="D51" s="7" t="n">
        <v>45951</v>
      </c>
      <c r="E51" t="inlineStr">
        <is>
          <t>Luz del Sur</t>
        </is>
      </c>
      <c r="F51" t="inlineStr">
        <is>
          <t>Soporte</t>
        </is>
      </c>
      <c r="G51" t="inlineStr">
        <is>
          <t>Soporte</t>
        </is>
      </c>
      <c r="H51" t="inlineStr">
        <is>
          <t>En revisión</t>
        </is>
      </c>
      <c r="I51" t="inlineStr">
        <is>
          <t>Confidencial</t>
        </is>
      </c>
      <c r="J51" t="inlineStr">
        <is>
          <t>Alta</t>
        </is>
      </c>
      <c r="K51" t="inlineStr">
        <is>
          <t>El presente documento corresponde a un contrato emitido por Luz del Sur, relacionado con cierre de ticket, mesa de ayuda y escalamiento. El área responsable es Soporte.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1" t="inlineStr">
        <is>
          <t>Contrato de Luz del Sur asociado a cierre de ticket y gestionado por Soporte.</t>
        </is>
      </c>
      <c r="M51" t="inlineStr">
        <is>
          <t>Soporte, Contrato, cierre de ticket, mesa de ayuda, escalamiento</t>
        </is>
      </c>
      <c r="N51" t="inlineStr">
        <is>
          <t>¿Qué indica el documento DOC-0050 sobre cierre de ticket?</t>
        </is>
      </c>
      <c r="O51" t="inlineStr">
        <is>
          <t>El documento DOC-0050 indica que se debe revisar cierre de ticket, validar antecedentes y coordinar acciones con el área Soporte.</t>
        </is>
      </c>
      <c r="P51" t="inlineStr">
        <is>
          <t>DOC-0050_Contrato.pdf</t>
        </is>
      </c>
      <c r="Q51" t="inlineStr">
        <is>
          <t>Registro sintético para entrenamiento inicial del agente documental.</t>
        </is>
      </c>
    </row>
    <row r="52">
      <c r="A52" t="inlineStr">
        <is>
          <t>DOC-0051</t>
        </is>
      </c>
      <c r="B52" t="inlineStr">
        <is>
          <t>Acta</t>
        </is>
      </c>
      <c r="C52" t="inlineStr">
        <is>
          <t>Acta sobre cumplimiento normativo - COES</t>
        </is>
      </c>
      <c r="D52" s="7" t="n">
        <v>45895</v>
      </c>
      <c r="E52" t="inlineStr">
        <is>
          <t>COES</t>
        </is>
      </c>
      <c r="F52" t="inlineStr">
        <is>
          <t>Soporte</t>
        </is>
      </c>
      <c r="G52" t="inlineStr">
        <is>
          <t>Legal</t>
        </is>
      </c>
      <c r="H52" t="inlineStr">
        <is>
          <t>En revisión</t>
        </is>
      </c>
      <c r="I52" t="inlineStr">
        <is>
          <t>Público</t>
        </is>
      </c>
      <c r="J52" t="inlineStr">
        <is>
          <t>Alta</t>
        </is>
      </c>
      <c r="K52" t="inlineStr">
        <is>
          <t>El presente documento corresponde a un acta emitido por COES, relacionado con cumplimiento normativo, obligaciones contractuales y vigencia contractual. El área responsable es Soporte.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2" t="inlineStr">
        <is>
          <t>Acta de COES asociado a cumplimiento normativo y gestionado por Soporte.</t>
        </is>
      </c>
      <c r="M52" t="inlineStr">
        <is>
          <t>Legal, Acta, cumplimiento normativo, obligaciones contractuales, vigencia contractual</t>
        </is>
      </c>
      <c r="N52" t="inlineStr">
        <is>
          <t>¿Qué indica el documento DOC-0051 sobre cumplimiento normativo?</t>
        </is>
      </c>
      <c r="O52" t="inlineStr">
        <is>
          <t>El documento DOC-0051 indica que se debe revisar cumplimiento normativo, validar antecedentes y coordinar acciones con el área Soporte.</t>
        </is>
      </c>
      <c r="P52" t="inlineStr">
        <is>
          <t>DOC-0051_Acta.pdf</t>
        </is>
      </c>
      <c r="Q52" t="inlineStr">
        <is>
          <t>Registro sintético para entrenamiento inicial del agente documental.</t>
        </is>
      </c>
    </row>
    <row r="53">
      <c r="A53" t="inlineStr">
        <is>
          <t>DOC-0052</t>
        </is>
      </c>
      <c r="B53" t="inlineStr">
        <is>
          <t>Contrato</t>
        </is>
      </c>
      <c r="C53" t="inlineStr">
        <is>
          <t>Contrato sobre seguridad - UTP</t>
        </is>
      </c>
      <c r="D53" s="7" t="n">
        <v>46082</v>
      </c>
      <c r="E53" t="inlineStr">
        <is>
          <t>UTP</t>
        </is>
      </c>
      <c r="F53" t="inlineStr">
        <is>
          <t>Comercial</t>
        </is>
      </c>
      <c r="G53" t="inlineStr">
        <is>
          <t>Técnico</t>
        </is>
      </c>
      <c r="H53" t="inlineStr">
        <is>
          <t>Pendiente</t>
        </is>
      </c>
      <c r="I53" t="inlineStr">
        <is>
          <t>Interno</t>
        </is>
      </c>
      <c r="J53" t="inlineStr">
        <is>
          <t>Alta</t>
        </is>
      </c>
      <c r="K53" t="inlineStr">
        <is>
          <t>El presente documento corresponde a un contrato emitido por UTP, relacionado con seguridad, disponibilidad y arquitectura tecnológica. El área responsable es Comercial.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3" t="inlineStr">
        <is>
          <t>Contrato de UTP asociado a seguridad y gestionado por Comercial.</t>
        </is>
      </c>
      <c r="M53" t="inlineStr">
        <is>
          <t>Técnico, Contrato, seguridad, disponibilidad, arquitectura tecnológica</t>
        </is>
      </c>
      <c r="N53" t="inlineStr">
        <is>
          <t>¿Qué indica el documento DOC-0052 sobre seguridad?</t>
        </is>
      </c>
      <c r="O53" t="inlineStr">
        <is>
          <t>El documento DOC-0052 indica que se debe revisar seguridad, validar antecedentes y coordinar acciones con el área Comercial.</t>
        </is>
      </c>
      <c r="P53" t="inlineStr">
        <is>
          <t>DOC-0052_Contrato.pdf</t>
        </is>
      </c>
      <c r="Q53" t="inlineStr">
        <is>
          <t>Registro sintético para entrenamiento inicial del agente documental.</t>
        </is>
      </c>
    </row>
    <row r="54">
      <c r="A54" t="inlineStr">
        <is>
          <t>DOC-0053</t>
        </is>
      </c>
      <c r="B54" t="inlineStr">
        <is>
          <t>Solicitud</t>
        </is>
      </c>
      <c r="C54" t="inlineStr">
        <is>
          <t>Solicitud sobre priorización - Cliente Privado</t>
        </is>
      </c>
      <c r="D54" s="7" t="n">
        <v>45859</v>
      </c>
      <c r="E54" t="inlineStr">
        <is>
          <t>Cliente Privado</t>
        </is>
      </c>
      <c r="F54" t="inlineStr">
        <is>
          <t>Gestión Documental</t>
        </is>
      </c>
      <c r="G54" t="inlineStr">
        <is>
          <t>Operaciones</t>
        </is>
      </c>
      <c r="H54" t="inlineStr">
        <is>
          <t>Pendiente</t>
        </is>
      </c>
      <c r="I54" t="inlineStr">
        <is>
          <t>Público</t>
        </is>
      </c>
      <c r="J54" t="inlineStr">
        <is>
          <t>Crítica</t>
        </is>
      </c>
      <c r="K54" t="inlineStr">
        <is>
          <t>El presente documento corresponde a un solicitud emitido por Cliente Privado, relacionado con priorización, atención de solicitudes y incidencias. El área responsable es Gestión Documental.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4" t="inlineStr">
        <is>
          <t>Solicitud de Cliente Privado asociado a priorización y gestionado por Gestión Documental.</t>
        </is>
      </c>
      <c r="M54" t="inlineStr">
        <is>
          <t>Operaciones, Solicitud, priorización, atención de solicitudes, incidencias</t>
        </is>
      </c>
      <c r="N54" t="inlineStr">
        <is>
          <t>¿Qué indica el documento DOC-0053 sobre priorización?</t>
        </is>
      </c>
      <c r="O54" t="inlineStr">
        <is>
          <t>El documento DOC-0053 indica que se debe revisar priorización, validar antecedentes y coordinar acciones con el área Gestión Documental.</t>
        </is>
      </c>
      <c r="P54" t="inlineStr">
        <is>
          <t>DOC-0053_Solicitud.pdf</t>
        </is>
      </c>
      <c r="Q54" t="inlineStr">
        <is>
          <t>Registro sintético para entrenamiento inicial del agente documental.</t>
        </is>
      </c>
    </row>
    <row r="55">
      <c r="A55" t="inlineStr">
        <is>
          <t>DOC-0054</t>
        </is>
      </c>
      <c r="B55" t="inlineStr">
        <is>
          <t>Memorando</t>
        </is>
      </c>
      <c r="C55" t="inlineStr">
        <is>
          <t>Memorando sobre servicio contratado - Osinergmin</t>
        </is>
      </c>
      <c r="D55" s="7" t="n">
        <v>45705</v>
      </c>
      <c r="E55" t="inlineStr">
        <is>
          <t>Osinergmin</t>
        </is>
      </c>
      <c r="F55" t="inlineStr">
        <is>
          <t>QA</t>
        </is>
      </c>
      <c r="G55" t="inlineStr">
        <is>
          <t>Comercial</t>
        </is>
      </c>
      <c r="H55" t="inlineStr">
        <is>
          <t>Pendiente</t>
        </is>
      </c>
      <c r="I55" t="inlineStr">
        <is>
          <t>Público</t>
        </is>
      </c>
      <c r="J55" t="inlineStr">
        <is>
          <t>Baja</t>
        </is>
      </c>
      <c r="K55" t="inlineStr">
        <is>
          <t>El presente documento corresponde a un memorando emitido por Osinergmin, relacionado con servicio contratado, propuesta económica y condiciones de pago. El área responsable es QA.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5" t="inlineStr">
        <is>
          <t>Memorando de Osinergmin asociado a servicio contratado y gestionado por QA.</t>
        </is>
      </c>
      <c r="M55" t="inlineStr">
        <is>
          <t>Comercial, Memorando, servicio contratado, propuesta económica, condiciones de pago</t>
        </is>
      </c>
      <c r="N55" t="inlineStr">
        <is>
          <t>¿Qué indica el documento DOC-0054 sobre servicio contratado?</t>
        </is>
      </c>
      <c r="O55" t="inlineStr">
        <is>
          <t>El documento DOC-0054 indica que se debe revisar servicio contratado, validar antecedentes y coordinar acciones con el área QA.</t>
        </is>
      </c>
      <c r="P55" t="inlineStr">
        <is>
          <t>DOC-0054_Memorando.pdf</t>
        </is>
      </c>
      <c r="Q55" t="inlineStr">
        <is>
          <t>Registro sintético para entrenamiento inicial del agente documental.</t>
        </is>
      </c>
    </row>
    <row r="56">
      <c r="A56" t="inlineStr">
        <is>
          <t>DOC-0055</t>
        </is>
      </c>
      <c r="B56" t="inlineStr">
        <is>
          <t>Contrato</t>
        </is>
      </c>
      <c r="C56" t="inlineStr">
        <is>
          <t>Contrato sobre facturación - Grupo Gloria</t>
        </is>
      </c>
      <c r="D56" s="7" t="n">
        <v>46044</v>
      </c>
      <c r="E56" t="inlineStr">
        <is>
          <t>Grupo Gloria</t>
        </is>
      </c>
      <c r="F56" t="inlineStr">
        <is>
          <t>Comercial</t>
        </is>
      </c>
      <c r="G56" t="inlineStr">
        <is>
          <t>Financiero</t>
        </is>
      </c>
      <c r="H56" t="inlineStr">
        <is>
          <t>Pendiente</t>
        </is>
      </c>
      <c r="I56" t="inlineStr">
        <is>
          <t>Interno</t>
        </is>
      </c>
      <c r="J56" t="inlineStr">
        <is>
          <t>Baja</t>
        </is>
      </c>
      <c r="K56" t="inlineStr">
        <is>
          <t>El presente documento corresponde a un contrato emitido por Grupo Gloria, relacionado con facturación, cronograma de pagos y monto. El área responsable es Comercial.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6" t="inlineStr">
        <is>
          <t>Contrato de Grupo Gloria asociado a facturación y gestionado por Comercial.</t>
        </is>
      </c>
      <c r="M56" t="inlineStr">
        <is>
          <t>Financiero, Contrato, facturación, cronograma de pagos, monto</t>
        </is>
      </c>
      <c r="N56" t="inlineStr">
        <is>
          <t>¿Qué indica el documento DOC-0055 sobre facturación?</t>
        </is>
      </c>
      <c r="O56" t="inlineStr">
        <is>
          <t>El documento DOC-0055 indica que se debe revisar facturación, validar antecedentes y coordinar acciones con el área Comercial.</t>
        </is>
      </c>
      <c r="P56" t="inlineStr">
        <is>
          <t>DOC-0055_Contrato.pdf</t>
        </is>
      </c>
      <c r="Q56" t="inlineStr">
        <is>
          <t>Registro sintético para entrenamiento inicial del agente documental.</t>
        </is>
      </c>
    </row>
    <row r="57">
      <c r="A57" t="inlineStr">
        <is>
          <t>DOC-0056</t>
        </is>
      </c>
      <c r="B57" t="inlineStr">
        <is>
          <t>Carta</t>
        </is>
      </c>
      <c r="C57" t="inlineStr">
        <is>
          <t>Carta sobre incidencias - Caja Cusco</t>
        </is>
      </c>
      <c r="D57" s="7" t="n">
        <v>46037</v>
      </c>
      <c r="E57" t="inlineStr">
        <is>
          <t>Caja Cusco</t>
        </is>
      </c>
      <c r="F57" t="inlineStr">
        <is>
          <t>Mesa de Partes</t>
        </is>
      </c>
      <c r="G57" t="inlineStr">
        <is>
          <t>Operaciones</t>
        </is>
      </c>
      <c r="H57" t="inlineStr">
        <is>
          <t>En revisión</t>
        </is>
      </c>
      <c r="I57" t="inlineStr">
        <is>
          <t>Confidencial</t>
        </is>
      </c>
      <c r="J57" t="inlineStr">
        <is>
          <t>Baja</t>
        </is>
      </c>
      <c r="K57" t="inlineStr">
        <is>
          <t>El presente documento corresponde a un carta emitido por Caja Cusco, relacionado con incidencias, atención de solicitudes y gestión operativa. El área responsable es Mesa de Partes.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7" t="inlineStr">
        <is>
          <t>Carta de Caja Cusco asociado a incidencias y gestionado por Mesa de Partes.</t>
        </is>
      </c>
      <c r="M57" t="inlineStr">
        <is>
          <t>Operaciones, Carta, incidencias, atención de solicitudes, gestión operativa</t>
        </is>
      </c>
      <c r="N57" t="inlineStr">
        <is>
          <t>¿Qué indica el documento DOC-0056 sobre incidencias?</t>
        </is>
      </c>
      <c r="O57" t="inlineStr">
        <is>
          <t>El documento DOC-0056 indica que se debe revisar incidencias, validar antecedentes y coordinar acciones con el área Mesa de Partes.</t>
        </is>
      </c>
      <c r="P57" t="inlineStr">
        <is>
          <t>DOC-0056_Carta.pdf</t>
        </is>
      </c>
      <c r="Q57" t="inlineStr">
        <is>
          <t>Registro sintético para entrenamiento inicial del agente documental.</t>
        </is>
      </c>
    </row>
    <row r="58">
      <c r="A58" t="inlineStr">
        <is>
          <t>DOC-0057</t>
        </is>
      </c>
      <c r="B58" t="inlineStr">
        <is>
          <t>Solicitud</t>
        </is>
      </c>
      <c r="C58" t="inlineStr">
        <is>
          <t>Solicitud sobre clasificación documental - Minam</t>
        </is>
      </c>
      <c r="D58" s="7" t="n">
        <v>45856</v>
      </c>
      <c r="E58" t="inlineStr">
        <is>
          <t>Minam</t>
        </is>
      </c>
      <c r="F58" t="inlineStr">
        <is>
          <t>Mesa de Partes</t>
        </is>
      </c>
      <c r="G58" t="inlineStr">
        <is>
          <t>Gestión Documental</t>
        </is>
      </c>
      <c r="H58" t="inlineStr">
        <is>
          <t>Pendiente</t>
        </is>
      </c>
      <c r="I58" t="inlineStr">
        <is>
          <t>Público</t>
        </is>
      </c>
      <c r="J58" t="inlineStr">
        <is>
          <t>Crítica</t>
        </is>
      </c>
      <c r="K58" t="inlineStr">
        <is>
          <t>El presente documento corresponde a un solicitud emitido por Minam, relacionado con clasificación documental, trazabilidad y metadatos. El área responsable es Mesa de Partes.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8" t="inlineStr">
        <is>
          <t>Solicitud de Minam asociado a clasificación documental y gestionado por Mesa de Partes.</t>
        </is>
      </c>
      <c r="M58" t="inlineStr">
        <is>
          <t>Gestión Documental, Solicitud, clasificación documental, trazabilidad, metadatos</t>
        </is>
      </c>
      <c r="N58" t="inlineStr">
        <is>
          <t>¿Qué indica el documento DOC-0057 sobre clasificación documental?</t>
        </is>
      </c>
      <c r="O58" t="inlineStr">
        <is>
          <t>El documento DOC-0057 indica que se debe revisar clasificación documental, validar antecedentes y coordinar acciones con el área Mesa de Partes.</t>
        </is>
      </c>
      <c r="P58" t="inlineStr">
        <is>
          <t>DOC-0057_Solicitud.pdf</t>
        </is>
      </c>
      <c r="Q58" t="inlineStr">
        <is>
          <t>Registro sintético para entrenamiento inicial del agente documental.</t>
        </is>
      </c>
    </row>
    <row r="59">
      <c r="A59" t="inlineStr">
        <is>
          <t>DOC-0058</t>
        </is>
      </c>
      <c r="B59" t="inlineStr">
        <is>
          <t>Memorando</t>
        </is>
      </c>
      <c r="C59" t="inlineStr">
        <is>
          <t>Memorando sobre disponibilidad - BTG</t>
        </is>
      </c>
      <c r="D59" s="7" t="n">
        <v>45918</v>
      </c>
      <c r="E59" t="inlineStr">
        <is>
          <t>BTG</t>
        </is>
      </c>
      <c r="F59" t="inlineStr">
        <is>
          <t>Gestión Documental</t>
        </is>
      </c>
      <c r="G59" t="inlineStr">
        <is>
          <t>Técnico</t>
        </is>
      </c>
      <c r="H59" t="inlineStr">
        <is>
          <t>Vigente</t>
        </is>
      </c>
      <c r="I59" t="inlineStr">
        <is>
          <t>Interno</t>
        </is>
      </c>
      <c r="J59" t="inlineStr">
        <is>
          <t>Crítica</t>
        </is>
      </c>
      <c r="K59" t="inlineStr">
        <is>
          <t>El presente documento corresponde a un memorando emitido por BTG, relacionado con disponibilidad, integración de sistemas y seguridad. El área responsable es Gestión Documental.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59" t="inlineStr">
        <is>
          <t>Memorando de BTG asociado a disponibilidad y gestionado por Gestión Documental.</t>
        </is>
      </c>
      <c r="M59" t="inlineStr">
        <is>
          <t>Técnico, Memorando, disponibilidad, integración de sistemas, seguridad</t>
        </is>
      </c>
      <c r="N59" t="inlineStr">
        <is>
          <t>¿Qué indica el documento DOC-0058 sobre disponibilidad?</t>
        </is>
      </c>
      <c r="O59" t="inlineStr">
        <is>
          <t>El documento DOC-0058 indica que se debe revisar disponibilidad, validar antecedentes y coordinar acciones con el área Gestión Documental.</t>
        </is>
      </c>
      <c r="P59" t="inlineStr">
        <is>
          <t>DOC-0058_Memorando.pdf</t>
        </is>
      </c>
      <c r="Q59" t="inlineStr">
        <is>
          <t>Registro sintético para entrenamiento inicial del agente documental.</t>
        </is>
      </c>
    </row>
    <row r="60">
      <c r="A60" t="inlineStr">
        <is>
          <t>DOC-0059</t>
        </is>
      </c>
      <c r="B60" t="inlineStr">
        <is>
          <t>Memorando</t>
        </is>
      </c>
      <c r="C60" t="inlineStr">
        <is>
          <t>Memorando sobre servicio contratado - Osinergmin</t>
        </is>
      </c>
      <c r="D60" s="7" t="n">
        <v>45679</v>
      </c>
      <c r="E60" t="inlineStr">
        <is>
          <t>Osinergmin</t>
        </is>
      </c>
      <c r="F60" t="inlineStr">
        <is>
          <t>Mesa de Partes</t>
        </is>
      </c>
      <c r="G60" t="inlineStr">
        <is>
          <t>Comercial</t>
        </is>
      </c>
      <c r="H60" t="inlineStr">
        <is>
          <t>Archivado</t>
        </is>
      </c>
      <c r="I60" t="inlineStr">
        <is>
          <t>Interno</t>
        </is>
      </c>
      <c r="J60" t="inlineStr">
        <is>
          <t>Crítica</t>
        </is>
      </c>
      <c r="K60" t="inlineStr">
        <is>
          <t>El presente documento corresponde a un memorando emitido por Osinergmin, relacionado con servicio contratado, alcance comercial y propuesta económica. El área responsable es Mesa de Partes.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0" t="inlineStr">
        <is>
          <t>Memorando de Osinergmin asociado a servicio contratado y gestionado por Mesa de Partes.</t>
        </is>
      </c>
      <c r="M60" t="inlineStr">
        <is>
          <t>Comercial, Memorando, servicio contratado, alcance comercial, propuesta económica</t>
        </is>
      </c>
      <c r="N60" t="inlineStr">
        <is>
          <t>¿Qué indica el documento DOC-0059 sobre servicio contratado?</t>
        </is>
      </c>
      <c r="O60" t="inlineStr">
        <is>
          <t>El documento DOC-0059 indica que se debe revisar servicio contratado, validar antecedentes y coordinar acciones con el área Mesa de Partes.</t>
        </is>
      </c>
      <c r="P60" t="inlineStr">
        <is>
          <t>DOC-0059_Memorando.pdf</t>
        </is>
      </c>
      <c r="Q60" t="inlineStr">
        <is>
          <t>Registro sintético para entrenamiento inicial del agente documental.</t>
        </is>
      </c>
    </row>
    <row r="61">
      <c r="A61" t="inlineStr">
        <is>
          <t>DOC-0060</t>
        </is>
      </c>
      <c r="B61" t="inlineStr">
        <is>
          <t>Oficio</t>
        </is>
      </c>
      <c r="C61" t="inlineStr">
        <is>
          <t>Oficio sobre validación contable - Sunass</t>
        </is>
      </c>
      <c r="D61" s="7" t="n">
        <v>45807</v>
      </c>
      <c r="E61" t="inlineStr">
        <is>
          <t>Sunass</t>
        </is>
      </c>
      <c r="F61" t="inlineStr">
        <is>
          <t>Operaciones</t>
        </is>
      </c>
      <c r="G61" t="inlineStr">
        <is>
          <t>Financiero</t>
        </is>
      </c>
      <c r="H61" t="inlineStr">
        <is>
          <t>Pendiente</t>
        </is>
      </c>
      <c r="I61" t="inlineStr">
        <is>
          <t>Interno</t>
        </is>
      </c>
      <c r="J61" t="inlineStr">
        <is>
          <t>Crítica</t>
        </is>
      </c>
      <c r="K61" t="inlineStr">
        <is>
          <t>El presente documento corresponde a un oficio emitido por Sunass, relacionado con validación contable, cronograma de pagos y monto.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1" t="inlineStr">
        <is>
          <t>Oficio de Sunass asociado a validación contable y gestionado por Operaciones.</t>
        </is>
      </c>
      <c r="M61" t="inlineStr">
        <is>
          <t>Financiero, Oficio, validación contable, cronograma de pagos, monto</t>
        </is>
      </c>
      <c r="N61" t="inlineStr">
        <is>
          <t>¿Qué indica el documento DOC-0060 sobre validación contable?</t>
        </is>
      </c>
      <c r="O61" t="inlineStr">
        <is>
          <t>El documento DOC-0060 indica que se debe revisar validación contable, validar antecedentes y coordinar acciones con el área Operaciones.</t>
        </is>
      </c>
      <c r="P61" t="inlineStr">
        <is>
          <t>DOC-0060_Oficio.pdf</t>
        </is>
      </c>
      <c r="Q61" t="inlineStr">
        <is>
          <t>Registro sintético para entrenamiento inicial del agente documental.</t>
        </is>
      </c>
    </row>
    <row r="62">
      <c r="A62" t="inlineStr">
        <is>
          <t>DOC-0061</t>
        </is>
      </c>
      <c r="B62" t="inlineStr">
        <is>
          <t>Expediente</t>
        </is>
      </c>
      <c r="C62" t="inlineStr">
        <is>
          <t>Expediente sobre alcance comercial - Minam</t>
        </is>
      </c>
      <c r="D62" s="7" t="n">
        <v>45694</v>
      </c>
      <c r="E62" t="inlineStr">
        <is>
          <t>Minam</t>
        </is>
      </c>
      <c r="F62" t="inlineStr">
        <is>
          <t>QA</t>
        </is>
      </c>
      <c r="G62" t="inlineStr">
        <is>
          <t>Comercial</t>
        </is>
      </c>
      <c r="H62" t="inlineStr">
        <is>
          <t>En revisión</t>
        </is>
      </c>
      <c r="I62" t="inlineStr">
        <is>
          <t>Interno</t>
        </is>
      </c>
      <c r="J62" t="inlineStr">
        <is>
          <t>Alta</t>
        </is>
      </c>
      <c r="K62" t="inlineStr">
        <is>
          <t>El presente documento corresponde a un expediente emitido por Minam, relacionado con alcance comercial, renovación y servicio contratado. El área responsable es QA.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2" t="inlineStr">
        <is>
          <t>Expediente de Minam asociado a alcance comercial y gestionado por QA.</t>
        </is>
      </c>
      <c r="M62" t="inlineStr">
        <is>
          <t>Comercial, Expediente, alcance comercial, renovación, servicio contratado</t>
        </is>
      </c>
      <c r="N62" t="inlineStr">
        <is>
          <t>¿Qué indica el documento DOC-0061 sobre alcance comercial?</t>
        </is>
      </c>
      <c r="O62" t="inlineStr">
        <is>
          <t>El documento DOC-0061 indica que se debe revisar alcance comercial, validar antecedentes y coordinar acciones con el área QA.</t>
        </is>
      </c>
      <c r="P62" t="inlineStr">
        <is>
          <t>DOC-0061_Expediente.pdf</t>
        </is>
      </c>
      <c r="Q62" t="inlineStr">
        <is>
          <t>Registro sintético para entrenamiento inicial del agente documental.</t>
        </is>
      </c>
    </row>
    <row r="63">
      <c r="A63" t="inlineStr">
        <is>
          <t>DOC-0062</t>
        </is>
      </c>
      <c r="B63" t="inlineStr">
        <is>
          <t>Memorando</t>
        </is>
      </c>
      <c r="C63" t="inlineStr">
        <is>
          <t>Memorando sobre escalamiento - Minam</t>
        </is>
      </c>
      <c r="D63" s="7" t="n">
        <v>45889</v>
      </c>
      <c r="E63" t="inlineStr">
        <is>
          <t>Minam</t>
        </is>
      </c>
      <c r="F63" t="inlineStr">
        <is>
          <t>Administración</t>
        </is>
      </c>
      <c r="G63" t="inlineStr">
        <is>
          <t>Soporte</t>
        </is>
      </c>
      <c r="H63" t="inlineStr">
        <is>
          <t>Observado</t>
        </is>
      </c>
      <c r="I63" t="inlineStr">
        <is>
          <t>Confidencial</t>
        </is>
      </c>
      <c r="J63" t="inlineStr">
        <is>
          <t>Baja</t>
        </is>
      </c>
      <c r="K63" t="inlineStr">
        <is>
          <t>El presente documento corresponde a un memorando emitido por Minam, relacionado con escalamiento, cierre de ticket y incidente reportado. El área responsable es Administración.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3" t="inlineStr">
        <is>
          <t>Memorando de Minam asociado a escalamiento y gestionado por Administración.</t>
        </is>
      </c>
      <c r="M63" t="inlineStr">
        <is>
          <t>Soporte, Memorando, escalamiento, cierre de ticket, incidente reportado</t>
        </is>
      </c>
      <c r="N63" t="inlineStr">
        <is>
          <t>¿Qué indica el documento DOC-0062 sobre escalamiento?</t>
        </is>
      </c>
      <c r="O63" t="inlineStr">
        <is>
          <t>El documento DOC-0062 indica que se debe revisar escalamiento, validar antecedentes y coordinar acciones con el área Administración.</t>
        </is>
      </c>
      <c r="P63" t="inlineStr">
        <is>
          <t>DOC-0062_Memorando.pdf</t>
        </is>
      </c>
      <c r="Q63" t="inlineStr">
        <is>
          <t>Registro sintético para entrenamiento inicial del agente documental.</t>
        </is>
      </c>
    </row>
    <row r="64">
      <c r="A64" t="inlineStr">
        <is>
          <t>DOC-0063</t>
        </is>
      </c>
      <c r="B64" t="inlineStr">
        <is>
          <t>Expediente</t>
        </is>
      </c>
      <c r="C64" t="inlineStr">
        <is>
          <t>Expediente sobre alcance comercial - UTP</t>
        </is>
      </c>
      <c r="D64" s="7" t="n">
        <v>45830</v>
      </c>
      <c r="E64" t="inlineStr">
        <is>
          <t>UTP</t>
        </is>
      </c>
      <c r="F64" t="inlineStr">
        <is>
          <t>Gestión Documental</t>
        </is>
      </c>
      <c r="G64" t="inlineStr">
        <is>
          <t>Comercial</t>
        </is>
      </c>
      <c r="H64" t="inlineStr">
        <is>
          <t>En revisión</t>
        </is>
      </c>
      <c r="I64" t="inlineStr">
        <is>
          <t>Confidencial</t>
        </is>
      </c>
      <c r="J64" t="inlineStr">
        <is>
          <t>Baja</t>
        </is>
      </c>
      <c r="K64" t="inlineStr">
        <is>
          <t>El presente documento corresponde a un expediente emitido por UTP, relacionado con alcance comercial, renovación y propuesta económica. El área responsable es Gestión Documental.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4" t="inlineStr">
        <is>
          <t>Expediente de UTP asociado a alcance comercial y gestionado por Gestión Documental.</t>
        </is>
      </c>
      <c r="M64" t="inlineStr">
        <is>
          <t>Comercial, Expediente, alcance comercial, renovación, propuesta económica</t>
        </is>
      </c>
      <c r="N64" t="inlineStr">
        <is>
          <t>¿Qué indica el documento DOC-0063 sobre alcance comercial?</t>
        </is>
      </c>
      <c r="O64" t="inlineStr">
        <is>
          <t>El documento DOC-0063 indica que se debe revisar alcance comercial, validar antecedentes y coordinar acciones con el área Gestión Documental.</t>
        </is>
      </c>
      <c r="P64" t="inlineStr">
        <is>
          <t>DOC-0063_Expediente.pdf</t>
        </is>
      </c>
      <c r="Q64" t="inlineStr">
        <is>
          <t>Registro sintético para entrenamiento inicial del agente documental.</t>
        </is>
      </c>
    </row>
    <row r="65">
      <c r="A65" t="inlineStr">
        <is>
          <t>DOC-0064</t>
        </is>
      </c>
      <c r="B65" t="inlineStr">
        <is>
          <t>Resolución</t>
        </is>
      </c>
      <c r="C65" t="inlineStr">
        <is>
          <t>Resolución sobre SLA - Minam</t>
        </is>
      </c>
      <c r="D65" s="7" t="n">
        <v>46078</v>
      </c>
      <c r="E65" t="inlineStr">
        <is>
          <t>Minam</t>
        </is>
      </c>
      <c r="F65" t="inlineStr">
        <is>
          <t>QA</t>
        </is>
      </c>
      <c r="G65" t="inlineStr">
        <is>
          <t>Operaciones</t>
        </is>
      </c>
      <c r="H65" t="inlineStr">
        <is>
          <t>Archivado</t>
        </is>
      </c>
      <c r="I65" t="inlineStr">
        <is>
          <t>Público</t>
        </is>
      </c>
      <c r="J65" t="inlineStr">
        <is>
          <t>Media</t>
        </is>
      </c>
      <c r="K65" t="inlineStr">
        <is>
          <t>El presente documento corresponde a un resolución emitido por Minam, relacionado con SLA, gestión operativa y atención de solicitudes.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5" t="inlineStr">
        <is>
          <t>Resolución de Minam asociado a SLA y gestionado por QA.</t>
        </is>
      </c>
      <c r="M65" t="inlineStr">
        <is>
          <t>Operaciones, Resolución, SLA, gestión operativa, atención de solicitudes</t>
        </is>
      </c>
      <c r="N65" t="inlineStr">
        <is>
          <t>¿Qué indica el documento DOC-0064 sobre SLA?</t>
        </is>
      </c>
      <c r="O65" t="inlineStr">
        <is>
          <t>El documento DOC-0064 indica que se debe revisar SLA, validar antecedentes y coordinar acciones con el área QA.</t>
        </is>
      </c>
      <c r="P65" t="inlineStr">
        <is>
          <t>DOC-0064_Resolución.pdf</t>
        </is>
      </c>
      <c r="Q65" t="inlineStr">
        <is>
          <t>Registro sintético para entrenamiento inicial del agente documental.</t>
        </is>
      </c>
    </row>
    <row r="66">
      <c r="A66" t="inlineStr">
        <is>
          <t>DOC-0065</t>
        </is>
      </c>
      <c r="B66" t="inlineStr">
        <is>
          <t>Solicitud</t>
        </is>
      </c>
      <c r="C66" t="inlineStr">
        <is>
          <t>Solicitud sobre vigencia contractual - Minam</t>
        </is>
      </c>
      <c r="D66" s="7" t="n">
        <v>45798</v>
      </c>
      <c r="E66" t="inlineStr">
        <is>
          <t>Minam</t>
        </is>
      </c>
      <c r="F66" t="inlineStr">
        <is>
          <t>TI</t>
        </is>
      </c>
      <c r="G66" t="inlineStr">
        <is>
          <t>Legal</t>
        </is>
      </c>
      <c r="H66" t="inlineStr">
        <is>
          <t>Vigente</t>
        </is>
      </c>
      <c r="I66" t="inlineStr">
        <is>
          <t>Público</t>
        </is>
      </c>
      <c r="J66" t="inlineStr">
        <is>
          <t>Alta</t>
        </is>
      </c>
      <c r="K66" t="inlineStr">
        <is>
          <t>El presente documento corresponde a un solicitud emitido por Minam, relacionado con vigencia contractual, obligaciones contractuales y cumplimiento normativo. El área responsable es TI.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6" t="inlineStr">
        <is>
          <t>Solicitud de Minam asociado a vigencia contractual y gestionado por TI.</t>
        </is>
      </c>
      <c r="M66" t="inlineStr">
        <is>
          <t>Legal, Solicitud, vigencia contractual, obligaciones contractuales, cumplimiento normativo</t>
        </is>
      </c>
      <c r="N66" t="inlineStr">
        <is>
          <t>¿Qué indica el documento DOC-0065 sobre vigencia contractual?</t>
        </is>
      </c>
      <c r="O66" t="inlineStr">
        <is>
          <t>El documento DOC-0065 indica que se debe revisar vigencia contractual, validar antecedentes y coordinar acciones con el área TI.</t>
        </is>
      </c>
      <c r="P66" t="inlineStr">
        <is>
          <t>DOC-0065_Solicitud.pdf</t>
        </is>
      </c>
      <c r="Q66" t="inlineStr">
        <is>
          <t>Registro sintético para entrenamiento inicial del agente documental.</t>
        </is>
      </c>
    </row>
    <row r="67">
      <c r="A67" t="inlineStr">
        <is>
          <t>DOC-0066</t>
        </is>
      </c>
      <c r="B67" t="inlineStr">
        <is>
          <t>Carta</t>
        </is>
      </c>
      <c r="C67" t="inlineStr">
        <is>
          <t>Carta sobre archivo - Sunass</t>
        </is>
      </c>
      <c r="D67" s="7" t="n">
        <v>45800</v>
      </c>
      <c r="E67" t="inlineStr">
        <is>
          <t>Sunass</t>
        </is>
      </c>
      <c r="F67" t="inlineStr">
        <is>
          <t>Mesa de Partes</t>
        </is>
      </c>
      <c r="G67" t="inlineStr">
        <is>
          <t>Administrativo</t>
        </is>
      </c>
      <c r="H67" t="inlineStr">
        <is>
          <t>Observado</t>
        </is>
      </c>
      <c r="I67" t="inlineStr">
        <is>
          <t>Interno</t>
        </is>
      </c>
      <c r="J67" t="inlineStr">
        <is>
          <t>Media</t>
        </is>
      </c>
      <c r="K67" t="inlineStr">
        <is>
          <t>El presente documento corresponde a un carta emitido por Sunass, relacionado con archivo, aprobación y registro documentario. El área responsable es Mesa de Partes.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7" t="inlineStr">
        <is>
          <t>Carta de Sunass asociado a archivo y gestionado por Mesa de Partes.</t>
        </is>
      </c>
      <c r="M67" t="inlineStr">
        <is>
          <t>Administrativo, Carta, archivo, aprobación, registro documentario</t>
        </is>
      </c>
      <c r="N67" t="inlineStr">
        <is>
          <t>¿Qué indica el documento DOC-0066 sobre archivo?</t>
        </is>
      </c>
      <c r="O67" t="inlineStr">
        <is>
          <t>El documento DOC-0066 indica que se debe revisar archivo, validar antecedentes y coordinar acciones con el área Mesa de Partes.</t>
        </is>
      </c>
      <c r="P67" t="inlineStr">
        <is>
          <t>DOC-0066_Carta.pdf</t>
        </is>
      </c>
      <c r="Q67" t="inlineStr">
        <is>
          <t>Registro sintético para entrenamiento inicial del agente documental.</t>
        </is>
      </c>
    </row>
    <row r="68">
      <c r="A68" t="inlineStr">
        <is>
          <t>DOC-0067</t>
        </is>
      </c>
      <c r="B68" t="inlineStr">
        <is>
          <t>Expediente</t>
        </is>
      </c>
      <c r="C68" t="inlineStr">
        <is>
          <t>Expediente sobre atención de solicitudes - Cliente Privado</t>
        </is>
      </c>
      <c r="D68" s="7" t="n">
        <v>45938</v>
      </c>
      <c r="E68" t="inlineStr">
        <is>
          <t>Cliente Privado</t>
        </is>
      </c>
      <c r="F68" t="inlineStr">
        <is>
          <t>Mesa de Partes</t>
        </is>
      </c>
      <c r="G68" t="inlineStr">
        <is>
          <t>Operaciones</t>
        </is>
      </c>
      <c r="H68" t="inlineStr">
        <is>
          <t>Observado</t>
        </is>
      </c>
      <c r="I68" t="inlineStr">
        <is>
          <t>Interno</t>
        </is>
      </c>
      <c r="J68" t="inlineStr">
        <is>
          <t>Alta</t>
        </is>
      </c>
      <c r="K68" t="inlineStr">
        <is>
          <t>El presente documento corresponde a un expediente emitido por Cliente Privado, relacionado con atención de solicitudes, incidencias y SLA. El área responsable es Mesa de Partes.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8" t="inlineStr">
        <is>
          <t>Expediente de Cliente Privado asociado a atención de solicitudes y gestionado por Mesa de Partes.</t>
        </is>
      </c>
      <c r="M68" t="inlineStr">
        <is>
          <t>Operaciones, Expediente, atención de solicitudes, incidencias, SLA</t>
        </is>
      </c>
      <c r="N68" t="inlineStr">
        <is>
          <t>¿Qué indica el documento DOC-0067 sobre atención de solicitudes?</t>
        </is>
      </c>
      <c r="O68" t="inlineStr">
        <is>
          <t>El documento DOC-0067 indica que se debe revisar atención de solicitudes, validar antecedentes y coordinar acciones con el área Mesa de Partes.</t>
        </is>
      </c>
      <c r="P68" t="inlineStr">
        <is>
          <t>DOC-0067_Expediente.pdf</t>
        </is>
      </c>
      <c r="Q68" t="inlineStr">
        <is>
          <t>Registro sintético para entrenamiento inicial del agente documental.</t>
        </is>
      </c>
    </row>
    <row r="69">
      <c r="A69" t="inlineStr">
        <is>
          <t>DOC-0068</t>
        </is>
      </c>
      <c r="B69" t="inlineStr">
        <is>
          <t>Contrato</t>
        </is>
      </c>
      <c r="C69" t="inlineStr">
        <is>
          <t>Contrato sobre búsqueda semántica - Cliente Privado</t>
        </is>
      </c>
      <c r="D69" s="7" t="n">
        <v>45764</v>
      </c>
      <c r="E69" t="inlineStr">
        <is>
          <t>Cliente Privado</t>
        </is>
      </c>
      <c r="F69" t="inlineStr">
        <is>
          <t>Mesa de Partes</t>
        </is>
      </c>
      <c r="G69" t="inlineStr">
        <is>
          <t>Gestión Documental</t>
        </is>
      </c>
      <c r="H69" t="inlineStr">
        <is>
          <t>Archivado</t>
        </is>
      </c>
      <c r="I69" t="inlineStr">
        <is>
          <t>Público</t>
        </is>
      </c>
      <c r="J69" t="inlineStr">
        <is>
          <t>Alta</t>
        </is>
      </c>
      <c r="K69" t="inlineStr">
        <is>
          <t>El presente documento corresponde a un contrato emitido por Cliente Privado, relacionado con búsqueda semántica, trazabilidad y metadatos. El área responsable es Mesa de Partes.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69" t="inlineStr">
        <is>
          <t>Contrato de Cliente Privado asociado a búsqueda semántica y gestionado por Mesa de Partes.</t>
        </is>
      </c>
      <c r="M69" t="inlineStr">
        <is>
          <t>Gestión Documental, Contrato, búsqueda semántica, trazabilidad, metadatos</t>
        </is>
      </c>
      <c r="N69" t="inlineStr">
        <is>
          <t>¿Qué indica el documento DOC-0068 sobre búsqueda semántica?</t>
        </is>
      </c>
      <c r="O69" t="inlineStr">
        <is>
          <t>El documento DOC-0068 indica que se debe revisar búsqueda semántica, validar antecedentes y coordinar acciones con el área Mesa de Partes.</t>
        </is>
      </c>
      <c r="P69" t="inlineStr">
        <is>
          <t>DOC-0068_Contrato.pdf</t>
        </is>
      </c>
      <c r="Q69" t="inlineStr">
        <is>
          <t>Registro sintético para entrenamiento inicial del agente documental.</t>
        </is>
      </c>
    </row>
    <row r="70">
      <c r="A70" t="inlineStr">
        <is>
          <t>DOC-0069</t>
        </is>
      </c>
      <c r="B70" t="inlineStr">
        <is>
          <t>Reclamo</t>
        </is>
      </c>
      <c r="C70" t="inlineStr">
        <is>
          <t>Reclamo sobre orden de compra - Cliente Privado</t>
        </is>
      </c>
      <c r="D70" s="7" t="n">
        <v>45825</v>
      </c>
      <c r="E70" t="inlineStr">
        <is>
          <t>Cliente Privado</t>
        </is>
      </c>
      <c r="F70" t="inlineStr">
        <is>
          <t>Comercial</t>
        </is>
      </c>
      <c r="G70" t="inlineStr">
        <is>
          <t>Financiero</t>
        </is>
      </c>
      <c r="H70" t="inlineStr">
        <is>
          <t>En revisión</t>
        </is>
      </c>
      <c r="I70" t="inlineStr">
        <is>
          <t>Confidencial</t>
        </is>
      </c>
      <c r="J70" t="inlineStr">
        <is>
          <t>Alta</t>
        </is>
      </c>
      <c r="K70" t="inlineStr">
        <is>
          <t>El presente documento corresponde a un reclamo emitido por Cliente Privado, relacionado con orden de compra, monto y facturación. El área responsable es Comercial.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0" t="inlineStr">
        <is>
          <t>Reclamo de Cliente Privado asociado a orden de compra y gestionado por Comercial.</t>
        </is>
      </c>
      <c r="M70" t="inlineStr">
        <is>
          <t>Financiero, Reclamo, orden de compra, monto, facturación</t>
        </is>
      </c>
      <c r="N70" t="inlineStr">
        <is>
          <t>¿Qué indica el documento DOC-0069 sobre orden de compra?</t>
        </is>
      </c>
      <c r="O70" t="inlineStr">
        <is>
          <t>El documento DOC-0069 indica que se debe revisar orden de compra, validar antecedentes y coordinar acciones con el área Comercial.</t>
        </is>
      </c>
      <c r="P70" t="inlineStr">
        <is>
          <t>DOC-0069_Reclamo.pdf</t>
        </is>
      </c>
      <c r="Q70" t="inlineStr">
        <is>
          <t>Registro sintético para entrenamiento inicial del agente documental.</t>
        </is>
      </c>
    </row>
    <row r="71">
      <c r="A71" t="inlineStr">
        <is>
          <t>DOC-0070</t>
        </is>
      </c>
      <c r="B71" t="inlineStr">
        <is>
          <t>Carta</t>
        </is>
      </c>
      <c r="C71" t="inlineStr">
        <is>
          <t>Carta sobre expediente digital - Caja Cusco</t>
        </is>
      </c>
      <c r="D71" s="7" t="n">
        <v>46007</v>
      </c>
      <c r="E71" t="inlineStr">
        <is>
          <t>Caja Cusco</t>
        </is>
      </c>
      <c r="F71" t="inlineStr">
        <is>
          <t>Comercial</t>
        </is>
      </c>
      <c r="G71" t="inlineStr">
        <is>
          <t>Gestión Documental</t>
        </is>
      </c>
      <c r="H71" t="inlineStr">
        <is>
          <t>Vigente</t>
        </is>
      </c>
      <c r="I71" t="inlineStr">
        <is>
          <t>Público</t>
        </is>
      </c>
      <c r="J71" t="inlineStr">
        <is>
          <t>Media</t>
        </is>
      </c>
      <c r="K71" t="inlineStr">
        <is>
          <t>El presente documento corresponde a un carta emitido por Caja Cusco, relacionado con expediente digital, clasificación documental y metadatos. El área responsable es Comercial.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1" t="inlineStr">
        <is>
          <t>Carta de Caja Cusco asociado a expediente digital y gestionado por Comercial.</t>
        </is>
      </c>
      <c r="M71" t="inlineStr">
        <is>
          <t>Gestión Documental, Carta, expediente digital, clasificación documental, metadatos</t>
        </is>
      </c>
      <c r="N71" t="inlineStr">
        <is>
          <t>¿Qué indica el documento DOC-0070 sobre expediente digital?</t>
        </is>
      </c>
      <c r="O71" t="inlineStr">
        <is>
          <t>El documento DOC-0070 indica que se debe revisar expediente digital, validar antecedentes y coordinar acciones con el área Comercial.</t>
        </is>
      </c>
      <c r="P71" t="inlineStr">
        <is>
          <t>DOC-0070_Carta.pdf</t>
        </is>
      </c>
      <c r="Q71" t="inlineStr">
        <is>
          <t>Registro sintético para entrenamiento inicial del agente documental.</t>
        </is>
      </c>
    </row>
    <row r="72">
      <c r="A72" t="inlineStr">
        <is>
          <t>DOC-0071</t>
        </is>
      </c>
      <c r="B72" t="inlineStr">
        <is>
          <t>Acta</t>
        </is>
      </c>
      <c r="C72" t="inlineStr">
        <is>
          <t>Acta sobre cumplimiento normativo - COES</t>
        </is>
      </c>
      <c r="D72" s="7" t="n">
        <v>46186</v>
      </c>
      <c r="E72" t="inlineStr">
        <is>
          <t>COES</t>
        </is>
      </c>
      <c r="F72" t="inlineStr">
        <is>
          <t>Mesa de Partes</t>
        </is>
      </c>
      <c r="G72" t="inlineStr">
        <is>
          <t>Legal</t>
        </is>
      </c>
      <c r="H72" t="inlineStr">
        <is>
          <t>En revisión</t>
        </is>
      </c>
      <c r="I72" t="inlineStr">
        <is>
          <t>Público</t>
        </is>
      </c>
      <c r="J72" t="inlineStr">
        <is>
          <t>Crítica</t>
        </is>
      </c>
      <c r="K72" t="inlineStr">
        <is>
          <t>El presente documento corresponde a un acta emitido por COES, relacionado con cumplimiento normativo, vigencia contractual y penalidades. El área responsable es Mesa de Partes.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2" t="inlineStr">
        <is>
          <t>Acta de COES asociado a cumplimiento normativo y gestionado por Mesa de Partes.</t>
        </is>
      </c>
      <c r="M72" t="inlineStr">
        <is>
          <t>Legal, Acta, cumplimiento normativo, vigencia contractual, penalidades</t>
        </is>
      </c>
      <c r="N72" t="inlineStr">
        <is>
          <t>¿Qué indica el documento DOC-0071 sobre cumplimiento normativo?</t>
        </is>
      </c>
      <c r="O72" t="inlineStr">
        <is>
          <t>El documento DOC-0071 indica que se debe revisar cumplimiento normativo, validar antecedentes y coordinar acciones con el área Mesa de Partes.</t>
        </is>
      </c>
      <c r="P72" t="inlineStr">
        <is>
          <t>DOC-0071_Acta.pdf</t>
        </is>
      </c>
      <c r="Q72" t="inlineStr">
        <is>
          <t>Registro sintético para entrenamiento inicial del agente documental.</t>
        </is>
      </c>
    </row>
    <row r="73">
      <c r="A73" t="inlineStr">
        <is>
          <t>DOC-0072</t>
        </is>
      </c>
      <c r="B73" t="inlineStr">
        <is>
          <t>Resolución</t>
        </is>
      </c>
      <c r="C73" t="inlineStr">
        <is>
          <t>Resolución sobre seguimiento - Osinergmin</t>
        </is>
      </c>
      <c r="D73" s="7" t="n">
        <v>45873</v>
      </c>
      <c r="E73" t="inlineStr">
        <is>
          <t>Osinergmin</t>
        </is>
      </c>
      <c r="F73" t="inlineStr">
        <is>
          <t>Gestión Documental</t>
        </is>
      </c>
      <c r="G73" t="inlineStr">
        <is>
          <t>Administrativo</t>
        </is>
      </c>
      <c r="H73" t="inlineStr">
        <is>
          <t>Observado</t>
        </is>
      </c>
      <c r="I73" t="inlineStr">
        <is>
          <t>Público</t>
        </is>
      </c>
      <c r="J73" t="inlineStr">
        <is>
          <t>Crítica</t>
        </is>
      </c>
      <c r="K73" t="inlineStr">
        <is>
          <t>El presente documento corresponde a un resolución emitido por Osinergmin, relacionado con seguimiento, archivo y registro documentario. El área responsable es Gestión Documental.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3" t="inlineStr">
        <is>
          <t>Resolución de Osinergmin asociado a seguimiento y gestionado por Gestión Documental.</t>
        </is>
      </c>
      <c r="M73" t="inlineStr">
        <is>
          <t>Administrativo, Resolución, seguimiento, archivo, registro documentario</t>
        </is>
      </c>
      <c r="N73" t="inlineStr">
        <is>
          <t>¿Qué indica el documento DOC-0072 sobre seguimiento?</t>
        </is>
      </c>
      <c r="O73" t="inlineStr">
        <is>
          <t>El documento DOC-0072 indica que se debe revisar seguimiento, validar antecedentes y coordinar acciones con el área Gestión Documental.</t>
        </is>
      </c>
      <c r="P73" t="inlineStr">
        <is>
          <t>DOC-0072_Resolución.pdf</t>
        </is>
      </c>
      <c r="Q73" t="inlineStr">
        <is>
          <t>Registro sintético para entrenamiento inicial del agente documental.</t>
        </is>
      </c>
    </row>
    <row r="74">
      <c r="A74" t="inlineStr">
        <is>
          <t>DOC-0073</t>
        </is>
      </c>
      <c r="B74" t="inlineStr">
        <is>
          <t>Acta</t>
        </is>
      </c>
      <c r="C74" t="inlineStr">
        <is>
          <t>Acta sobre renovación - Caja Cusco</t>
        </is>
      </c>
      <c r="D74" s="7" t="n">
        <v>45904</v>
      </c>
      <c r="E74" t="inlineStr">
        <is>
          <t>Caja Cusco</t>
        </is>
      </c>
      <c r="F74" t="inlineStr">
        <is>
          <t>Soporte</t>
        </is>
      </c>
      <c r="G74" t="inlineStr">
        <is>
          <t>Comercial</t>
        </is>
      </c>
      <c r="H74" t="inlineStr">
        <is>
          <t>Pendiente</t>
        </is>
      </c>
      <c r="I74" t="inlineStr">
        <is>
          <t>Público</t>
        </is>
      </c>
      <c r="J74" t="inlineStr">
        <is>
          <t>Alta</t>
        </is>
      </c>
      <c r="K74" t="inlineStr">
        <is>
          <t>El presente documento corresponde a un acta emitido por Caja Cusco, relacionado con renovación, alcance comercial y servicio contratado. El área responsable es Soporte.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4" t="inlineStr">
        <is>
          <t>Acta de Caja Cusco asociado a renovación y gestionado por Soporte.</t>
        </is>
      </c>
      <c r="M74" t="inlineStr">
        <is>
          <t>Comercial, Acta, renovación, alcance comercial, servicio contratado</t>
        </is>
      </c>
      <c r="N74" t="inlineStr">
        <is>
          <t>¿Qué indica el documento DOC-0073 sobre renovación?</t>
        </is>
      </c>
      <c r="O74" t="inlineStr">
        <is>
          <t>El documento DOC-0073 indica que se debe revisar renovación, validar antecedentes y coordinar acciones con el área Soporte.</t>
        </is>
      </c>
      <c r="P74" t="inlineStr">
        <is>
          <t>DOC-0073_Acta.pdf</t>
        </is>
      </c>
      <c r="Q74" t="inlineStr">
        <is>
          <t>Registro sintético para entrenamiento inicial del agente documental.</t>
        </is>
      </c>
    </row>
    <row r="75">
      <c r="A75" t="inlineStr">
        <is>
          <t>DOC-0074</t>
        </is>
      </c>
      <c r="B75" t="inlineStr">
        <is>
          <t>Reclamo</t>
        </is>
      </c>
      <c r="C75" t="inlineStr">
        <is>
          <t>Reclamo sobre validación contable - Caja Cusco</t>
        </is>
      </c>
      <c r="D75" s="7" t="n">
        <v>45825</v>
      </c>
      <c r="E75" t="inlineStr">
        <is>
          <t>Caja Cusco</t>
        </is>
      </c>
      <c r="F75" t="inlineStr">
        <is>
          <t>Comercial</t>
        </is>
      </c>
      <c r="G75" t="inlineStr">
        <is>
          <t>Financiero</t>
        </is>
      </c>
      <c r="H75" t="inlineStr">
        <is>
          <t>Archivado</t>
        </is>
      </c>
      <c r="I75" t="inlineStr">
        <is>
          <t>Interno</t>
        </is>
      </c>
      <c r="J75" t="inlineStr">
        <is>
          <t>Baja</t>
        </is>
      </c>
      <c r="K75" t="inlineStr">
        <is>
          <t>El presente documento corresponde a un reclamo emitido por Caja Cusco, relacionado con validación contable, orden de compra y facturación. El área responsable es Comercial.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5" t="inlineStr">
        <is>
          <t>Reclamo de Caja Cusco asociado a validación contable y gestionado por Comercial.</t>
        </is>
      </c>
      <c r="M75" t="inlineStr">
        <is>
          <t>Financiero, Reclamo, validación contable, orden de compra, facturación</t>
        </is>
      </c>
      <c r="N75" t="inlineStr">
        <is>
          <t>¿Qué indica el documento DOC-0074 sobre validación contable?</t>
        </is>
      </c>
      <c r="O75" t="inlineStr">
        <is>
          <t>El documento DOC-0074 indica que se debe revisar validación contable, validar antecedentes y coordinar acciones con el área Comercial.</t>
        </is>
      </c>
      <c r="P75" t="inlineStr">
        <is>
          <t>DOC-0074_Reclamo.pdf</t>
        </is>
      </c>
      <c r="Q75" t="inlineStr">
        <is>
          <t>Registro sintético para entrenamiento inicial del agente documental.</t>
        </is>
      </c>
    </row>
    <row r="76">
      <c r="A76" t="inlineStr">
        <is>
          <t>DOC-0075</t>
        </is>
      </c>
      <c r="B76" t="inlineStr">
        <is>
          <t>Informe Técnico</t>
        </is>
      </c>
      <c r="C76" t="inlineStr">
        <is>
          <t>Informe Técnico sobre propuesta económica - Osinergmin</t>
        </is>
      </c>
      <c r="D76" s="7" t="n">
        <v>45694</v>
      </c>
      <c r="E76" t="inlineStr">
        <is>
          <t>Osinergmin</t>
        </is>
      </c>
      <c r="F76" t="inlineStr">
        <is>
          <t>QA</t>
        </is>
      </c>
      <c r="G76" t="inlineStr">
        <is>
          <t>Comercial</t>
        </is>
      </c>
      <c r="H76" t="inlineStr">
        <is>
          <t>Pendiente</t>
        </is>
      </c>
      <c r="I76" t="inlineStr">
        <is>
          <t>Confidencial</t>
        </is>
      </c>
      <c r="J76" t="inlineStr">
        <is>
          <t>Crítica</t>
        </is>
      </c>
      <c r="K76" t="inlineStr">
        <is>
          <t>El presente documento corresponde a un informe técnico emitido por Osinergmin, relacionado con propuesta económica, servicio contratado y alcance comercial. El área responsable es QA.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6" t="inlineStr">
        <is>
          <t>Informe Técnico de Osinergmin asociado a propuesta económica y gestionado por QA.</t>
        </is>
      </c>
      <c r="M76" t="inlineStr">
        <is>
          <t>Comercial, Informe Técnico, propuesta económica, servicio contratado, alcance comercial</t>
        </is>
      </c>
      <c r="N76" t="inlineStr">
        <is>
          <t>¿Qué indica el documento DOC-0075 sobre propuesta económica?</t>
        </is>
      </c>
      <c r="O76" t="inlineStr">
        <is>
          <t>El documento DOC-0075 indica que se debe revisar propuesta económica, validar antecedentes y coordinar acciones con el área QA.</t>
        </is>
      </c>
      <c r="P76" t="inlineStr">
        <is>
          <t>DOC-0075_Informe_Técnico.pdf</t>
        </is>
      </c>
      <c r="Q76" t="inlineStr">
        <is>
          <t>Registro sintético para entrenamiento inicial del agente documental.</t>
        </is>
      </c>
    </row>
    <row r="77">
      <c r="A77" t="inlineStr">
        <is>
          <t>DOC-0076</t>
        </is>
      </c>
      <c r="B77" t="inlineStr">
        <is>
          <t>Solicitud</t>
        </is>
      </c>
      <c r="C77" t="inlineStr">
        <is>
          <t>Solicitud sobre clasificación documental - BTG</t>
        </is>
      </c>
      <c r="D77" s="7" t="n">
        <v>45898</v>
      </c>
      <c r="E77" t="inlineStr">
        <is>
          <t>BTG</t>
        </is>
      </c>
      <c r="F77" t="inlineStr">
        <is>
          <t>Operaciones</t>
        </is>
      </c>
      <c r="G77" t="inlineStr">
        <is>
          <t>Gestión Documental</t>
        </is>
      </c>
      <c r="H77" t="inlineStr">
        <is>
          <t>En revisión</t>
        </is>
      </c>
      <c r="I77" t="inlineStr">
        <is>
          <t>Interno</t>
        </is>
      </c>
      <c r="J77" t="inlineStr">
        <is>
          <t>Baja</t>
        </is>
      </c>
      <c r="K77" t="inlineStr">
        <is>
          <t>El presente documento corresponde a un solicitud emitido por BTG, relacionado con clasificación documental, expediente digital y trazabilidad. El área responsable es Operaciones.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7" t="inlineStr">
        <is>
          <t>Solicitud de BTG asociado a clasificación documental y gestionado por Operaciones.</t>
        </is>
      </c>
      <c r="M77" t="inlineStr">
        <is>
          <t>Gestión Documental, Solicitud, clasificación documental, expediente digital, trazabilidad</t>
        </is>
      </c>
      <c r="N77" t="inlineStr">
        <is>
          <t>¿Qué indica el documento DOC-0076 sobre clasificación documental?</t>
        </is>
      </c>
      <c r="O77" t="inlineStr">
        <is>
          <t>El documento DOC-0076 indica que se debe revisar clasificación documental, validar antecedentes y coordinar acciones con el área Operaciones.</t>
        </is>
      </c>
      <c r="P77" t="inlineStr">
        <is>
          <t>DOC-0076_Solicitud.pdf</t>
        </is>
      </c>
      <c r="Q77" t="inlineStr">
        <is>
          <t>Registro sintético para entrenamiento inicial del agente documental.</t>
        </is>
      </c>
    </row>
    <row r="78">
      <c r="A78" t="inlineStr">
        <is>
          <t>DOC-0077</t>
        </is>
      </c>
      <c r="B78" t="inlineStr">
        <is>
          <t>Memorando</t>
        </is>
      </c>
      <c r="C78" t="inlineStr">
        <is>
          <t>Memorando sobre renovación - OEFA</t>
        </is>
      </c>
      <c r="D78" s="7" t="n">
        <v>45891</v>
      </c>
      <c r="E78" t="inlineStr">
        <is>
          <t>OEFA</t>
        </is>
      </c>
      <c r="F78" t="inlineStr">
        <is>
          <t>Administración</t>
        </is>
      </c>
      <c r="G78" t="inlineStr">
        <is>
          <t>Comercial</t>
        </is>
      </c>
      <c r="H78" t="inlineStr">
        <is>
          <t>En revisión</t>
        </is>
      </c>
      <c r="I78" t="inlineStr">
        <is>
          <t>Interno</t>
        </is>
      </c>
      <c r="J78" t="inlineStr">
        <is>
          <t>Crítica</t>
        </is>
      </c>
      <c r="K78" t="inlineStr">
        <is>
          <t>El presente documento corresponde a un memorando emitido por OEFA, relacionado con renovación, propuesta económica y condiciones de pago. El área responsable es Administración.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8" t="inlineStr">
        <is>
          <t>Memorando de OEFA asociado a renovación y gestionado por Administración.</t>
        </is>
      </c>
      <c r="M78" t="inlineStr">
        <is>
          <t>Comercial, Memorando, renovación, propuesta económica, condiciones de pago</t>
        </is>
      </c>
      <c r="N78" t="inlineStr">
        <is>
          <t>¿Qué indica el documento DOC-0077 sobre renovación?</t>
        </is>
      </c>
      <c r="O78" t="inlineStr">
        <is>
          <t>El documento DOC-0077 indica que se debe revisar renovación, validar antecedentes y coordinar acciones con el área Administración.</t>
        </is>
      </c>
      <c r="P78" t="inlineStr">
        <is>
          <t>DOC-0077_Memorando.pdf</t>
        </is>
      </c>
      <c r="Q78" t="inlineStr">
        <is>
          <t>Registro sintético para entrenamiento inicial del agente documental.</t>
        </is>
      </c>
    </row>
    <row r="79">
      <c r="A79" t="inlineStr">
        <is>
          <t>DOC-0078</t>
        </is>
      </c>
      <c r="B79" t="inlineStr">
        <is>
          <t>Oficio</t>
        </is>
      </c>
      <c r="C79" t="inlineStr">
        <is>
          <t>Oficio sobre cumplimiento normativo - Minam</t>
        </is>
      </c>
      <c r="D79" s="7" t="n">
        <v>45818</v>
      </c>
      <c r="E79" t="inlineStr">
        <is>
          <t>Minam</t>
        </is>
      </c>
      <c r="F79" t="inlineStr">
        <is>
          <t>Mesa de Partes</t>
        </is>
      </c>
      <c r="G79" t="inlineStr">
        <is>
          <t>Legal</t>
        </is>
      </c>
      <c r="H79" t="inlineStr">
        <is>
          <t>Observado</t>
        </is>
      </c>
      <c r="I79" t="inlineStr">
        <is>
          <t>Confidencial</t>
        </is>
      </c>
      <c r="J79" t="inlineStr">
        <is>
          <t>Baja</t>
        </is>
      </c>
      <c r="K79" t="inlineStr">
        <is>
          <t>El presente documento corresponde a un oficio emitido por Minam, relacionado con cumplimiento normativo, vigencia contractual y obligaciones contractuales. El área responsable es Mesa de Partes.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79" t="inlineStr">
        <is>
          <t>Oficio de Minam asociado a cumplimiento normativo y gestionado por Mesa de Partes.</t>
        </is>
      </c>
      <c r="M79" t="inlineStr">
        <is>
          <t>Legal, Oficio, cumplimiento normativo, vigencia contractual, obligaciones contractuales</t>
        </is>
      </c>
      <c r="N79" t="inlineStr">
        <is>
          <t>¿Qué indica el documento DOC-0078 sobre cumplimiento normativo?</t>
        </is>
      </c>
      <c r="O79" t="inlineStr">
        <is>
          <t>El documento DOC-0078 indica que se debe revisar cumplimiento normativo, validar antecedentes y coordinar acciones con el área Mesa de Partes.</t>
        </is>
      </c>
      <c r="P79" t="inlineStr">
        <is>
          <t>DOC-0078_Oficio.pdf</t>
        </is>
      </c>
      <c r="Q79" t="inlineStr">
        <is>
          <t>Registro sintético para entrenamiento inicial del agente documental.</t>
        </is>
      </c>
    </row>
    <row r="80">
      <c r="A80" t="inlineStr">
        <is>
          <t>DOC-0079</t>
        </is>
      </c>
      <c r="B80" t="inlineStr">
        <is>
          <t>Solicitud</t>
        </is>
      </c>
      <c r="C80" t="inlineStr">
        <is>
          <t>Solicitud sobre SLA - OEFA</t>
        </is>
      </c>
      <c r="D80" s="7" t="n">
        <v>45756</v>
      </c>
      <c r="E80" t="inlineStr">
        <is>
          <t>OEFA</t>
        </is>
      </c>
      <c r="F80" t="inlineStr">
        <is>
          <t>Gestión Documental</t>
        </is>
      </c>
      <c r="G80" t="inlineStr">
        <is>
          <t>Operaciones</t>
        </is>
      </c>
      <c r="H80" t="inlineStr">
        <is>
          <t>Archivado</t>
        </is>
      </c>
      <c r="I80" t="inlineStr">
        <is>
          <t>Interno</t>
        </is>
      </c>
      <c r="J80" t="inlineStr">
        <is>
          <t>Baja</t>
        </is>
      </c>
      <c r="K80" t="inlineStr">
        <is>
          <t>El presente documento corresponde a un solicitud emitido por OEFA, relacionado con SLA, atención de solicitudes y gestión operativa.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0" t="inlineStr">
        <is>
          <t>Solicitud de OEFA asociado a SLA y gestionado por Gestión Documental.</t>
        </is>
      </c>
      <c r="M80" t="inlineStr">
        <is>
          <t>Operaciones, Solicitud, SLA, atención de solicitudes, gestión operativa</t>
        </is>
      </c>
      <c r="N80" t="inlineStr">
        <is>
          <t>¿Qué indica el documento DOC-0079 sobre SLA?</t>
        </is>
      </c>
      <c r="O80" t="inlineStr">
        <is>
          <t>El documento DOC-0079 indica que se debe revisar SLA, validar antecedentes y coordinar acciones con el área Gestión Documental.</t>
        </is>
      </c>
      <c r="P80" t="inlineStr">
        <is>
          <t>DOC-0079_Solicitud.pdf</t>
        </is>
      </c>
      <c r="Q80" t="inlineStr">
        <is>
          <t>Registro sintético para entrenamiento inicial del agente documental.</t>
        </is>
      </c>
    </row>
    <row r="81">
      <c r="A81" t="inlineStr">
        <is>
          <t>DOC-0080</t>
        </is>
      </c>
      <c r="B81" t="inlineStr">
        <is>
          <t>Acta</t>
        </is>
      </c>
      <c r="C81" t="inlineStr">
        <is>
          <t>Acta sobre facturación - Grupo Gloria</t>
        </is>
      </c>
      <c r="D81" s="7" t="n">
        <v>45730</v>
      </c>
      <c r="E81" t="inlineStr">
        <is>
          <t>Grupo Gloria</t>
        </is>
      </c>
      <c r="F81" t="inlineStr">
        <is>
          <t>Administración</t>
        </is>
      </c>
      <c r="G81" t="inlineStr">
        <is>
          <t>Financiero</t>
        </is>
      </c>
      <c r="H81" t="inlineStr">
        <is>
          <t>Observado</t>
        </is>
      </c>
      <c r="I81" t="inlineStr">
        <is>
          <t>Interno</t>
        </is>
      </c>
      <c r="J81" t="inlineStr">
        <is>
          <t>Crítica</t>
        </is>
      </c>
      <c r="K81" t="inlineStr">
        <is>
          <t>El presente documento corresponde a un acta emitido por Grupo Gloria, relacionado con facturación, monto y orden de compra. El área responsable es Administración.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1" t="inlineStr">
        <is>
          <t>Acta de Grupo Gloria asociado a facturación y gestionado por Administración.</t>
        </is>
      </c>
      <c r="M81" t="inlineStr">
        <is>
          <t>Financiero, Acta, facturación, monto, orden de compra</t>
        </is>
      </c>
      <c r="N81" t="inlineStr">
        <is>
          <t>¿Qué indica el documento DOC-0080 sobre facturación?</t>
        </is>
      </c>
      <c r="O81" t="inlineStr">
        <is>
          <t>El documento DOC-0080 indica que se debe revisar facturación, validar antecedentes y coordinar acciones con el área Administración.</t>
        </is>
      </c>
      <c r="P81" t="inlineStr">
        <is>
          <t>DOC-0080_Acta.pdf</t>
        </is>
      </c>
      <c r="Q81" t="inlineStr">
        <is>
          <t>Registro sintético para entrenamiento inicial del agente documental.</t>
        </is>
      </c>
    </row>
    <row r="82">
      <c r="A82" t="inlineStr">
        <is>
          <t>DOC-0081</t>
        </is>
      </c>
      <c r="B82" t="inlineStr">
        <is>
          <t>Reclamo</t>
        </is>
      </c>
      <c r="C82" t="inlineStr">
        <is>
          <t>Reclamo sobre tiempo de atención - UTP</t>
        </is>
      </c>
      <c r="D82" s="7" t="n">
        <v>45750</v>
      </c>
      <c r="E82" t="inlineStr">
        <is>
          <t>UTP</t>
        </is>
      </c>
      <c r="F82" t="inlineStr">
        <is>
          <t>Operaciones</t>
        </is>
      </c>
      <c r="G82" t="inlineStr">
        <is>
          <t>Soporte</t>
        </is>
      </c>
      <c r="H82" t="inlineStr">
        <is>
          <t>Observado</t>
        </is>
      </c>
      <c r="I82" t="inlineStr">
        <is>
          <t>Público</t>
        </is>
      </c>
      <c r="J82" t="inlineStr">
        <is>
          <t>Alta</t>
        </is>
      </c>
      <c r="K82" t="inlineStr">
        <is>
          <t>El presente documento corresponde a un reclamo emitido por UTP, relacionado con tiempo de atención, incidente reportado y mesa de ayuda. El área responsable es Operaciones.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2" t="inlineStr">
        <is>
          <t>Reclamo de UTP asociado a tiempo de atención y gestionado por Operaciones.</t>
        </is>
      </c>
      <c r="M82" t="inlineStr">
        <is>
          <t>Soporte, Reclamo, tiempo de atención, incidente reportado, mesa de ayuda</t>
        </is>
      </c>
      <c r="N82" t="inlineStr">
        <is>
          <t>¿Qué indica el documento DOC-0081 sobre tiempo de atención?</t>
        </is>
      </c>
      <c r="O82" t="inlineStr">
        <is>
          <t>El documento DOC-0081 indica que se debe revisar tiempo de atención, validar antecedentes y coordinar acciones con el área Operaciones.</t>
        </is>
      </c>
      <c r="P82" t="inlineStr">
        <is>
          <t>DOC-0081_Reclamo.pdf</t>
        </is>
      </c>
      <c r="Q82" t="inlineStr">
        <is>
          <t>Registro sintético para entrenamiento inicial del agente documental.</t>
        </is>
      </c>
    </row>
    <row r="83">
      <c r="A83" t="inlineStr">
        <is>
          <t>DOC-0082</t>
        </is>
      </c>
      <c r="B83" t="inlineStr">
        <is>
          <t>Resolución</t>
        </is>
      </c>
      <c r="C83" t="inlineStr">
        <is>
          <t>Resolución sobre tiempo de atención - Grupo Gloria</t>
        </is>
      </c>
      <c r="D83" s="7" t="n">
        <v>45868</v>
      </c>
      <c r="E83" t="inlineStr">
        <is>
          <t>Grupo Gloria</t>
        </is>
      </c>
      <c r="F83" t="inlineStr">
        <is>
          <t>Legal</t>
        </is>
      </c>
      <c r="G83" t="inlineStr">
        <is>
          <t>Soporte</t>
        </is>
      </c>
      <c r="H83" t="inlineStr">
        <is>
          <t>Archivado</t>
        </is>
      </c>
      <c r="I83" t="inlineStr">
        <is>
          <t>Interno</t>
        </is>
      </c>
      <c r="J83" t="inlineStr">
        <is>
          <t>Alta</t>
        </is>
      </c>
      <c r="K83" t="inlineStr">
        <is>
          <t>El presente documento corresponde a un resolución emitido por Grupo Gloria, relacionado con tiempo de atención, escalamiento y incidente reportado. El área responsable es Legal.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3" t="inlineStr">
        <is>
          <t>Resolución de Grupo Gloria asociado a tiempo de atención y gestionado por Legal.</t>
        </is>
      </c>
      <c r="M83" t="inlineStr">
        <is>
          <t>Soporte, Resolución, tiempo de atención, escalamiento, incidente reportado</t>
        </is>
      </c>
      <c r="N83" t="inlineStr">
        <is>
          <t>¿Qué indica el documento DOC-0082 sobre tiempo de atención?</t>
        </is>
      </c>
      <c r="O83" t="inlineStr">
        <is>
          <t>El documento DOC-0082 indica que se debe revisar tiempo de atención, validar antecedentes y coordinar acciones con el área Legal.</t>
        </is>
      </c>
      <c r="P83" t="inlineStr">
        <is>
          <t>DOC-0082_Resolución.pdf</t>
        </is>
      </c>
      <c r="Q83" t="inlineStr">
        <is>
          <t>Registro sintético para entrenamiento inicial del agente documental.</t>
        </is>
      </c>
    </row>
    <row r="84">
      <c r="A84" t="inlineStr">
        <is>
          <t>DOC-0083</t>
        </is>
      </c>
      <c r="B84" t="inlineStr">
        <is>
          <t>Solicitud</t>
        </is>
      </c>
      <c r="C84" t="inlineStr">
        <is>
          <t>Solicitud sobre trazabilidad - Caja Cusco</t>
        </is>
      </c>
      <c r="D84" s="7" t="n">
        <v>45753</v>
      </c>
      <c r="E84" t="inlineStr">
        <is>
          <t>Caja Cusco</t>
        </is>
      </c>
      <c r="F84" t="inlineStr">
        <is>
          <t>Soporte</t>
        </is>
      </c>
      <c r="G84" t="inlineStr">
        <is>
          <t>Gestión Documental</t>
        </is>
      </c>
      <c r="H84" t="inlineStr">
        <is>
          <t>Observado</t>
        </is>
      </c>
      <c r="I84" t="inlineStr">
        <is>
          <t>Confidencial</t>
        </is>
      </c>
      <c r="J84" t="inlineStr">
        <is>
          <t>Crítica</t>
        </is>
      </c>
      <c r="K84" t="inlineStr">
        <is>
          <t>El presente documento corresponde a un solicitud emitido por Caja Cusco, relacionado con trazabilidad, metadatos y clasificación documental. El área responsable es Soporte.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4" t="inlineStr">
        <is>
          <t>Solicitud de Caja Cusco asociado a trazabilidad y gestionado por Soporte.</t>
        </is>
      </c>
      <c r="M84" t="inlineStr">
        <is>
          <t>Gestión Documental, Solicitud, trazabilidad, metadatos, clasificación documental</t>
        </is>
      </c>
      <c r="N84" t="inlineStr">
        <is>
          <t>¿Qué indica el documento DOC-0083 sobre trazabilidad?</t>
        </is>
      </c>
      <c r="O84" t="inlineStr">
        <is>
          <t>El documento DOC-0083 indica que se debe revisar trazabilidad, validar antecedentes y coordinar acciones con el área Soporte.</t>
        </is>
      </c>
      <c r="P84" t="inlineStr">
        <is>
          <t>DOC-0083_Solicitud.pdf</t>
        </is>
      </c>
      <c r="Q84" t="inlineStr">
        <is>
          <t>Registro sintético para entrenamiento inicial del agente documental.</t>
        </is>
      </c>
    </row>
    <row r="85">
      <c r="A85" t="inlineStr">
        <is>
          <t>DOC-0084</t>
        </is>
      </c>
      <c r="B85" t="inlineStr">
        <is>
          <t>Reclamo</t>
        </is>
      </c>
      <c r="C85" t="inlineStr">
        <is>
          <t>Reclamo sobre mesa de ayuda - COES</t>
        </is>
      </c>
      <c r="D85" s="7" t="n">
        <v>46077</v>
      </c>
      <c r="E85" t="inlineStr">
        <is>
          <t>COES</t>
        </is>
      </c>
      <c r="F85" t="inlineStr">
        <is>
          <t>TI</t>
        </is>
      </c>
      <c r="G85" t="inlineStr">
        <is>
          <t>Soporte</t>
        </is>
      </c>
      <c r="H85" t="inlineStr">
        <is>
          <t>Pendiente</t>
        </is>
      </c>
      <c r="I85" t="inlineStr">
        <is>
          <t>Confidencial</t>
        </is>
      </c>
      <c r="J85" t="inlineStr">
        <is>
          <t>Media</t>
        </is>
      </c>
      <c r="K85" t="inlineStr">
        <is>
          <t>El presente documento corresponde a un reclamo emitido por COES, relacionado con mesa de ayuda, incidente reportado y escalamiento. El área responsable es TI.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5" t="inlineStr">
        <is>
          <t>Reclamo de COES asociado a mesa de ayuda y gestionado por TI.</t>
        </is>
      </c>
      <c r="M85" t="inlineStr">
        <is>
          <t>Soporte, Reclamo, mesa de ayuda, incidente reportado, escalamiento</t>
        </is>
      </c>
      <c r="N85" t="inlineStr">
        <is>
          <t>¿Qué indica el documento DOC-0084 sobre mesa de ayuda?</t>
        </is>
      </c>
      <c r="O85" t="inlineStr">
        <is>
          <t>El documento DOC-0084 indica que se debe revisar mesa de ayuda, validar antecedentes y coordinar acciones con el área TI.</t>
        </is>
      </c>
      <c r="P85" t="inlineStr">
        <is>
          <t>DOC-0084_Reclamo.pdf</t>
        </is>
      </c>
      <c r="Q85" t="inlineStr">
        <is>
          <t>Registro sintético para entrenamiento inicial del agente documental.</t>
        </is>
      </c>
    </row>
    <row r="86">
      <c r="A86" t="inlineStr">
        <is>
          <t>DOC-0085</t>
        </is>
      </c>
      <c r="B86" t="inlineStr">
        <is>
          <t>Informe Técnico</t>
        </is>
      </c>
      <c r="C86" t="inlineStr">
        <is>
          <t>Informe Técnico sobre disponibilidad - BTG</t>
        </is>
      </c>
      <c r="D86" s="7" t="n">
        <v>45675</v>
      </c>
      <c r="E86" t="inlineStr">
        <is>
          <t>BTG</t>
        </is>
      </c>
      <c r="F86" t="inlineStr">
        <is>
          <t>QA</t>
        </is>
      </c>
      <c r="G86" t="inlineStr">
        <is>
          <t>Técnico</t>
        </is>
      </c>
      <c r="H86" t="inlineStr">
        <is>
          <t>En revisión</t>
        </is>
      </c>
      <c r="I86" t="inlineStr">
        <is>
          <t>Público</t>
        </is>
      </c>
      <c r="J86" t="inlineStr">
        <is>
          <t>Baja</t>
        </is>
      </c>
      <c r="K86" t="inlineStr">
        <is>
          <t>El presente documento corresponde a un informe técnico emitido por BTG, relacionado con disponibilidad, base de datos y arquitectura tecnológica. El área responsable es QA.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6" t="inlineStr">
        <is>
          <t>Informe Técnico de BTG asociado a disponibilidad y gestionado por QA.</t>
        </is>
      </c>
      <c r="M86" t="inlineStr">
        <is>
          <t>Técnico, Informe Técnico, disponibilidad, base de datos, arquitectura tecnológica</t>
        </is>
      </c>
      <c r="N86" t="inlineStr">
        <is>
          <t>¿Qué indica el documento DOC-0085 sobre disponibilidad?</t>
        </is>
      </c>
      <c r="O86" t="inlineStr">
        <is>
          <t>El documento DOC-0085 indica que se debe revisar disponibilidad, validar antecedentes y coordinar acciones con el área QA.</t>
        </is>
      </c>
      <c r="P86" t="inlineStr">
        <is>
          <t>DOC-0085_Informe_Técnico.pdf</t>
        </is>
      </c>
      <c r="Q86" t="inlineStr">
        <is>
          <t>Registro sintético para entrenamiento inicial del agente documental.</t>
        </is>
      </c>
    </row>
    <row r="87">
      <c r="A87" t="inlineStr">
        <is>
          <t>DOC-0086</t>
        </is>
      </c>
      <c r="B87" t="inlineStr">
        <is>
          <t>Memorando</t>
        </is>
      </c>
      <c r="C87" t="inlineStr">
        <is>
          <t>Memorando sobre búsqueda semántica - Grupo Gloria</t>
        </is>
      </c>
      <c r="D87" s="7" t="n">
        <v>45917</v>
      </c>
      <c r="E87" t="inlineStr">
        <is>
          <t>Grupo Gloria</t>
        </is>
      </c>
      <c r="F87" t="inlineStr">
        <is>
          <t>Legal</t>
        </is>
      </c>
      <c r="G87" t="inlineStr">
        <is>
          <t>Gestión Documental</t>
        </is>
      </c>
      <c r="H87" t="inlineStr">
        <is>
          <t>Vigente</t>
        </is>
      </c>
      <c r="I87" t="inlineStr">
        <is>
          <t>Público</t>
        </is>
      </c>
      <c r="J87" t="inlineStr">
        <is>
          <t>Baja</t>
        </is>
      </c>
      <c r="K87" t="inlineStr">
        <is>
          <t>El presente documento corresponde a un memorando emitido por Grupo Gloria, relacionado con búsqueda semántica, trazabilidad y clasificación documental. El área responsable es Legal.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7" t="inlineStr">
        <is>
          <t>Memorando de Grupo Gloria asociado a búsqueda semántica y gestionado por Legal.</t>
        </is>
      </c>
      <c r="M87" t="inlineStr">
        <is>
          <t>Gestión Documental, Memorando, búsqueda semántica, trazabilidad, clasificación documental</t>
        </is>
      </c>
      <c r="N87" t="inlineStr">
        <is>
          <t>¿Qué indica el documento DOC-0086 sobre búsqueda semántica?</t>
        </is>
      </c>
      <c r="O87" t="inlineStr">
        <is>
          <t>El documento DOC-0086 indica que se debe revisar búsqueda semántica, validar antecedentes y coordinar acciones con el área Legal.</t>
        </is>
      </c>
      <c r="P87" t="inlineStr">
        <is>
          <t>DOC-0086_Memorando.pdf</t>
        </is>
      </c>
      <c r="Q87" t="inlineStr">
        <is>
          <t>Registro sintético para entrenamiento inicial del agente documental.</t>
        </is>
      </c>
    </row>
    <row r="88">
      <c r="A88" t="inlineStr">
        <is>
          <t>DOC-0087</t>
        </is>
      </c>
      <c r="B88" t="inlineStr">
        <is>
          <t>Resolución</t>
        </is>
      </c>
      <c r="C88" t="inlineStr">
        <is>
          <t>Resolución sobre cumplimiento normativo - Ositran</t>
        </is>
      </c>
      <c r="D88" s="7" t="n">
        <v>45839</v>
      </c>
      <c r="E88" t="inlineStr">
        <is>
          <t>Ositran</t>
        </is>
      </c>
      <c r="F88" t="inlineStr">
        <is>
          <t>QA</t>
        </is>
      </c>
      <c r="G88" t="inlineStr">
        <is>
          <t>Legal</t>
        </is>
      </c>
      <c r="H88" t="inlineStr">
        <is>
          <t>Archivado</t>
        </is>
      </c>
      <c r="I88" t="inlineStr">
        <is>
          <t>Confidencial</t>
        </is>
      </c>
      <c r="J88" t="inlineStr">
        <is>
          <t>Baja</t>
        </is>
      </c>
      <c r="K88" t="inlineStr">
        <is>
          <t>El presente documento corresponde a un resolución emitido por Ositran, relacionado con cumplimiento normativo, obligaciones contractuales y penalidades.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8" t="inlineStr">
        <is>
          <t>Resolución de Ositran asociado a cumplimiento normativo y gestionado por QA.</t>
        </is>
      </c>
      <c r="M88" t="inlineStr">
        <is>
          <t>Legal, Resolución, cumplimiento normativo, obligaciones contractuales, penalidades</t>
        </is>
      </c>
      <c r="N88" t="inlineStr">
        <is>
          <t>¿Qué indica el documento DOC-0087 sobre cumplimiento normativo?</t>
        </is>
      </c>
      <c r="O88" t="inlineStr">
        <is>
          <t>El documento DOC-0087 indica que se debe revisar cumplimiento normativo, validar antecedentes y coordinar acciones con el área QA.</t>
        </is>
      </c>
      <c r="P88" t="inlineStr">
        <is>
          <t>DOC-0087_Resolución.pdf</t>
        </is>
      </c>
      <c r="Q88" t="inlineStr">
        <is>
          <t>Registro sintético para entrenamiento inicial del agente documental.</t>
        </is>
      </c>
    </row>
    <row r="89">
      <c r="A89" t="inlineStr">
        <is>
          <t>DOC-0088</t>
        </is>
      </c>
      <c r="B89" t="inlineStr">
        <is>
          <t>Contrato</t>
        </is>
      </c>
      <c r="C89" t="inlineStr">
        <is>
          <t>Contrato sobre derivación interna - OEFA</t>
        </is>
      </c>
      <c r="D89" s="7" t="n">
        <v>45995</v>
      </c>
      <c r="E89" t="inlineStr">
        <is>
          <t>OEFA</t>
        </is>
      </c>
      <c r="F89" t="inlineStr">
        <is>
          <t>Administración</t>
        </is>
      </c>
      <c r="G89" t="inlineStr">
        <is>
          <t>Administrativo</t>
        </is>
      </c>
      <c r="H89" t="inlineStr">
        <is>
          <t>Observado</t>
        </is>
      </c>
      <c r="I89" t="inlineStr">
        <is>
          <t>Confidencial</t>
        </is>
      </c>
      <c r="J89" t="inlineStr">
        <is>
          <t>Media</t>
        </is>
      </c>
      <c r="K89" t="inlineStr">
        <is>
          <t>El presente documento corresponde a un contrato emitido por OEFA, relacionado con derivación interna, registro documentario y archivo. El área responsable es Administración.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89" t="inlineStr">
        <is>
          <t>Contrato de OEFA asociado a derivación interna y gestionado por Administración.</t>
        </is>
      </c>
      <c r="M89" t="inlineStr">
        <is>
          <t>Administrativo, Contrato, derivación interna, registro documentario, archivo</t>
        </is>
      </c>
      <c r="N89" t="inlineStr">
        <is>
          <t>¿Qué indica el documento DOC-0088 sobre derivación interna?</t>
        </is>
      </c>
      <c r="O89" t="inlineStr">
        <is>
          <t>El documento DOC-0088 indica que se debe revisar derivación interna, validar antecedentes y coordinar acciones con el área Administración.</t>
        </is>
      </c>
      <c r="P89" t="inlineStr">
        <is>
          <t>DOC-0088_Contrato.pdf</t>
        </is>
      </c>
      <c r="Q89" t="inlineStr">
        <is>
          <t>Registro sintético para entrenamiento inicial del agente documental.</t>
        </is>
      </c>
    </row>
    <row r="90">
      <c r="A90" t="inlineStr">
        <is>
          <t>DOC-0089</t>
        </is>
      </c>
      <c r="B90" t="inlineStr">
        <is>
          <t>Expediente</t>
        </is>
      </c>
      <c r="C90" t="inlineStr">
        <is>
          <t>Expediente sobre priorización - Luz del Sur</t>
        </is>
      </c>
      <c r="D90" s="7" t="n">
        <v>45943</v>
      </c>
      <c r="E90" t="inlineStr">
        <is>
          <t>Luz del Sur</t>
        </is>
      </c>
      <c r="F90" t="inlineStr">
        <is>
          <t>QA</t>
        </is>
      </c>
      <c r="G90" t="inlineStr">
        <is>
          <t>Operaciones</t>
        </is>
      </c>
      <c r="H90" t="inlineStr">
        <is>
          <t>Archivado</t>
        </is>
      </c>
      <c r="I90" t="inlineStr">
        <is>
          <t>Público</t>
        </is>
      </c>
      <c r="J90" t="inlineStr">
        <is>
          <t>Alta</t>
        </is>
      </c>
      <c r="K90" t="inlineStr">
        <is>
          <t>El presente documento corresponde a un expediente emitido por Luz del Sur, relacionado con priorización, gestión operativa y SLA.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0" t="inlineStr">
        <is>
          <t>Expediente de Luz del Sur asociado a priorización y gestionado por QA.</t>
        </is>
      </c>
      <c r="M90" t="inlineStr">
        <is>
          <t>Operaciones, Expediente, priorización, gestión operativa, SLA</t>
        </is>
      </c>
      <c r="N90" t="inlineStr">
        <is>
          <t>¿Qué indica el documento DOC-0089 sobre priorización?</t>
        </is>
      </c>
      <c r="O90" t="inlineStr">
        <is>
          <t>El documento DOC-0089 indica que se debe revisar priorización, validar antecedentes y coordinar acciones con el área QA.</t>
        </is>
      </c>
      <c r="P90" t="inlineStr">
        <is>
          <t>DOC-0089_Expediente.pdf</t>
        </is>
      </c>
      <c r="Q90" t="inlineStr">
        <is>
          <t>Registro sintético para entrenamiento inicial del agente documental.</t>
        </is>
      </c>
    </row>
    <row r="91">
      <c r="A91" t="inlineStr">
        <is>
          <t>DOC-0090</t>
        </is>
      </c>
      <c r="B91" t="inlineStr">
        <is>
          <t>Expediente</t>
        </is>
      </c>
      <c r="C91" t="inlineStr">
        <is>
          <t>Expediente sobre cierre de ticket - Sunass</t>
        </is>
      </c>
      <c r="D91" s="7" t="n">
        <v>45878</v>
      </c>
      <c r="E91" t="inlineStr">
        <is>
          <t>Sunass</t>
        </is>
      </c>
      <c r="F91" t="inlineStr">
        <is>
          <t>Mesa de Partes</t>
        </is>
      </c>
      <c r="G91" t="inlineStr">
        <is>
          <t>Soporte</t>
        </is>
      </c>
      <c r="H91" t="inlineStr">
        <is>
          <t>Vigente</t>
        </is>
      </c>
      <c r="I91" t="inlineStr">
        <is>
          <t>Público</t>
        </is>
      </c>
      <c r="J91" t="inlineStr">
        <is>
          <t>Crítica</t>
        </is>
      </c>
      <c r="K91" t="inlineStr">
        <is>
          <t>El presente documento corresponde a un expediente emitido por Sunass, relacionado con cierre de ticket, escalamiento y mesa de ayuda. El área responsable es Mesa de Partes.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1" t="inlineStr">
        <is>
          <t>Expediente de Sunass asociado a cierre de ticket y gestionado por Mesa de Partes.</t>
        </is>
      </c>
      <c r="M91" t="inlineStr">
        <is>
          <t>Soporte, Expediente, cierre de ticket, escalamiento, mesa de ayuda</t>
        </is>
      </c>
      <c r="N91" t="inlineStr">
        <is>
          <t>¿Qué indica el documento DOC-0090 sobre cierre de ticket?</t>
        </is>
      </c>
      <c r="O91" t="inlineStr">
        <is>
          <t>El documento DOC-0090 indica que se debe revisar cierre de ticket, validar antecedentes y coordinar acciones con el área Mesa de Partes.</t>
        </is>
      </c>
      <c r="P91" t="inlineStr">
        <is>
          <t>DOC-0090_Expediente.pdf</t>
        </is>
      </c>
      <c r="Q91" t="inlineStr">
        <is>
          <t>Registro sintético para entrenamiento inicial del agente documental.</t>
        </is>
      </c>
    </row>
    <row r="92">
      <c r="A92" t="inlineStr">
        <is>
          <t>DOC-0091</t>
        </is>
      </c>
      <c r="B92" t="inlineStr">
        <is>
          <t>Expediente</t>
        </is>
      </c>
      <c r="C92" t="inlineStr">
        <is>
          <t>Expediente sobre facturación - UTP</t>
        </is>
      </c>
      <c r="D92" s="7" t="n">
        <v>46014</v>
      </c>
      <c r="E92" t="inlineStr">
        <is>
          <t>UTP</t>
        </is>
      </c>
      <c r="F92" t="inlineStr">
        <is>
          <t>Gestión Documental</t>
        </is>
      </c>
      <c r="G92" t="inlineStr">
        <is>
          <t>Financiero</t>
        </is>
      </c>
      <c r="H92" t="inlineStr">
        <is>
          <t>Archivado</t>
        </is>
      </c>
      <c r="I92" t="inlineStr">
        <is>
          <t>Confidencial</t>
        </is>
      </c>
      <c r="J92" t="inlineStr">
        <is>
          <t>Baja</t>
        </is>
      </c>
      <c r="K92" t="inlineStr">
        <is>
          <t>El presente documento corresponde a un expediente emitido por UTP, relacionado con facturación, cronograma de pagos y orden de compra.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2" t="inlineStr">
        <is>
          <t>Expediente de UTP asociado a facturación y gestionado por Gestión Documental.</t>
        </is>
      </c>
      <c r="M92" t="inlineStr">
        <is>
          <t>Financiero, Expediente, facturación, cronograma de pagos, orden de compra</t>
        </is>
      </c>
      <c r="N92" t="inlineStr">
        <is>
          <t>¿Qué indica el documento DOC-0091 sobre facturación?</t>
        </is>
      </c>
      <c r="O92" t="inlineStr">
        <is>
          <t>El documento DOC-0091 indica que se debe revisar facturación, validar antecedentes y coordinar acciones con el área Gestión Documental.</t>
        </is>
      </c>
      <c r="P92" t="inlineStr">
        <is>
          <t>DOC-0091_Expediente.pdf</t>
        </is>
      </c>
      <c r="Q92" t="inlineStr">
        <is>
          <t>Registro sintético para entrenamiento inicial del agente documental.</t>
        </is>
      </c>
    </row>
    <row r="93">
      <c r="A93" t="inlineStr">
        <is>
          <t>DOC-0092</t>
        </is>
      </c>
      <c r="B93" t="inlineStr">
        <is>
          <t>Solicitud</t>
        </is>
      </c>
      <c r="C93" t="inlineStr">
        <is>
          <t>Solicitud sobre monto - Cliente Privado</t>
        </is>
      </c>
      <c r="D93" s="7" t="n">
        <v>45839</v>
      </c>
      <c r="E93" t="inlineStr">
        <is>
          <t>Cliente Privado</t>
        </is>
      </c>
      <c r="F93" t="inlineStr">
        <is>
          <t>Comercial</t>
        </is>
      </c>
      <c r="G93" t="inlineStr">
        <is>
          <t>Financiero</t>
        </is>
      </c>
      <c r="H93" t="inlineStr">
        <is>
          <t>Observado</t>
        </is>
      </c>
      <c r="I93" t="inlineStr">
        <is>
          <t>Público</t>
        </is>
      </c>
      <c r="J93" t="inlineStr">
        <is>
          <t>Media</t>
        </is>
      </c>
      <c r="K93" t="inlineStr">
        <is>
          <t>El presente documento corresponde a un solicitud emitido por Cliente Privado, relacionado con monto, validación contable y orden de compra. El área responsable es Comercial.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3" t="inlineStr">
        <is>
          <t>Solicitud de Cliente Privado asociado a monto y gestionado por Comercial.</t>
        </is>
      </c>
      <c r="M93" t="inlineStr">
        <is>
          <t>Financiero, Solicitud, monto, validación contable, orden de compra</t>
        </is>
      </c>
      <c r="N93" t="inlineStr">
        <is>
          <t>¿Qué indica el documento DOC-0092 sobre monto?</t>
        </is>
      </c>
      <c r="O93" t="inlineStr">
        <is>
          <t>El documento DOC-0092 indica que se debe revisar monto, validar antecedentes y coordinar acciones con el área Comercial.</t>
        </is>
      </c>
      <c r="P93" t="inlineStr">
        <is>
          <t>DOC-0092_Solicitud.pdf</t>
        </is>
      </c>
      <c r="Q93" t="inlineStr">
        <is>
          <t>Registro sintético para entrenamiento inicial del agente documental.</t>
        </is>
      </c>
    </row>
    <row r="94">
      <c r="A94" t="inlineStr">
        <is>
          <t>DOC-0093</t>
        </is>
      </c>
      <c r="B94" t="inlineStr">
        <is>
          <t>Reclamo</t>
        </is>
      </c>
      <c r="C94" t="inlineStr">
        <is>
          <t>Reclamo sobre gestión operativa - Ositran</t>
        </is>
      </c>
      <c r="D94" s="7" t="n">
        <v>45876</v>
      </c>
      <c r="E94" t="inlineStr">
        <is>
          <t>Ositran</t>
        </is>
      </c>
      <c r="F94" t="inlineStr">
        <is>
          <t>Legal</t>
        </is>
      </c>
      <c r="G94" t="inlineStr">
        <is>
          <t>Operaciones</t>
        </is>
      </c>
      <c r="H94" t="inlineStr">
        <is>
          <t>Archivado</t>
        </is>
      </c>
      <c r="I94" t="inlineStr">
        <is>
          <t>Interno</t>
        </is>
      </c>
      <c r="J94" t="inlineStr">
        <is>
          <t>Crítica</t>
        </is>
      </c>
      <c r="K94" t="inlineStr">
        <is>
          <t>El presente documento corresponde a un reclamo emitido por Ositran, relacionado con gestión operativa, SLA y priorización. El área responsable es Legal.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4" t="inlineStr">
        <is>
          <t>Reclamo de Ositran asociado a gestión operativa y gestionado por Legal.</t>
        </is>
      </c>
      <c r="M94" t="inlineStr">
        <is>
          <t>Operaciones, Reclamo, gestión operativa, SLA, priorización</t>
        </is>
      </c>
      <c r="N94" t="inlineStr">
        <is>
          <t>¿Qué indica el documento DOC-0093 sobre gestión operativa?</t>
        </is>
      </c>
      <c r="O94" t="inlineStr">
        <is>
          <t>El documento DOC-0093 indica que se debe revisar gestión operativa, validar antecedentes y coordinar acciones con el área Legal.</t>
        </is>
      </c>
      <c r="P94" t="inlineStr">
        <is>
          <t>DOC-0093_Reclamo.pdf</t>
        </is>
      </c>
      <c r="Q94" t="inlineStr">
        <is>
          <t>Registro sintético para entrenamiento inicial del agente documental.</t>
        </is>
      </c>
    </row>
    <row r="95">
      <c r="A95" t="inlineStr">
        <is>
          <t>DOC-0094</t>
        </is>
      </c>
      <c r="B95" t="inlineStr">
        <is>
          <t>Carta</t>
        </is>
      </c>
      <c r="C95" t="inlineStr">
        <is>
          <t>Carta sobre gestión operativa - Osinergmin</t>
        </is>
      </c>
      <c r="D95" s="7" t="n">
        <v>46111</v>
      </c>
      <c r="E95" t="inlineStr">
        <is>
          <t>Osinergmin</t>
        </is>
      </c>
      <c r="F95" t="inlineStr">
        <is>
          <t>Legal</t>
        </is>
      </c>
      <c r="G95" t="inlineStr">
        <is>
          <t>Operaciones</t>
        </is>
      </c>
      <c r="H95" t="inlineStr">
        <is>
          <t>Pendiente</t>
        </is>
      </c>
      <c r="I95" t="inlineStr">
        <is>
          <t>Interno</t>
        </is>
      </c>
      <c r="J95" t="inlineStr">
        <is>
          <t>Media</t>
        </is>
      </c>
      <c r="K95" t="inlineStr">
        <is>
          <t>El presente documento corresponde a un carta emitido por Osinergmin, relacionado con gestión operativa, SLA y priorización. El área responsable es Legal.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5" t="inlineStr">
        <is>
          <t>Carta de Osinergmin asociado a gestión operativa y gestionado por Legal.</t>
        </is>
      </c>
      <c r="M95" t="inlineStr">
        <is>
          <t>Operaciones, Carta, gestión operativa, SLA, priorización</t>
        </is>
      </c>
      <c r="N95" t="inlineStr">
        <is>
          <t>¿Qué indica el documento DOC-0094 sobre gestión operativa?</t>
        </is>
      </c>
      <c r="O95" t="inlineStr">
        <is>
          <t>El documento DOC-0094 indica que se debe revisar gestión operativa, validar antecedentes y coordinar acciones con el área Legal.</t>
        </is>
      </c>
      <c r="P95" t="inlineStr">
        <is>
          <t>DOC-0094_Carta.pdf</t>
        </is>
      </c>
      <c r="Q95" t="inlineStr">
        <is>
          <t>Registro sintético para entrenamiento inicial del agente documental.</t>
        </is>
      </c>
    </row>
    <row r="96">
      <c r="A96" t="inlineStr">
        <is>
          <t>DOC-0095</t>
        </is>
      </c>
      <c r="B96" t="inlineStr">
        <is>
          <t>Reclamo</t>
        </is>
      </c>
      <c r="C96" t="inlineStr">
        <is>
          <t>Reclamo sobre seguimiento - Ositran</t>
        </is>
      </c>
      <c r="D96" s="7" t="n">
        <v>46025</v>
      </c>
      <c r="E96" t="inlineStr">
        <is>
          <t>Ositran</t>
        </is>
      </c>
      <c r="F96" t="inlineStr">
        <is>
          <t>TI</t>
        </is>
      </c>
      <c r="G96" t="inlineStr">
        <is>
          <t>Administrativo</t>
        </is>
      </c>
      <c r="H96" t="inlineStr">
        <is>
          <t>Observado</t>
        </is>
      </c>
      <c r="I96" t="inlineStr">
        <is>
          <t>Interno</t>
        </is>
      </c>
      <c r="J96" t="inlineStr">
        <is>
          <t>Alta</t>
        </is>
      </c>
      <c r="K96" t="inlineStr">
        <is>
          <t>El presente documento corresponde a un reclamo emitido por Ositran, relacionado con seguimiento, derivación interna y aprobación. El área responsable es TI.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6" t="inlineStr">
        <is>
          <t>Reclamo de Ositran asociado a seguimiento y gestionado por TI.</t>
        </is>
      </c>
      <c r="M96" t="inlineStr">
        <is>
          <t>Administrativo, Reclamo, seguimiento, derivación interna, aprobación</t>
        </is>
      </c>
      <c r="N96" t="inlineStr">
        <is>
          <t>¿Qué indica el documento DOC-0095 sobre seguimiento?</t>
        </is>
      </c>
      <c r="O96" t="inlineStr">
        <is>
          <t>El documento DOC-0095 indica que se debe revisar seguimiento, validar antecedentes y coordinar acciones con el área TI.</t>
        </is>
      </c>
      <c r="P96" t="inlineStr">
        <is>
          <t>DOC-0095_Reclamo.pdf</t>
        </is>
      </c>
      <c r="Q96" t="inlineStr">
        <is>
          <t>Registro sintético para entrenamiento inicial del agente documental.</t>
        </is>
      </c>
    </row>
    <row r="97">
      <c r="A97" t="inlineStr">
        <is>
          <t>DOC-0096</t>
        </is>
      </c>
      <c r="B97" t="inlineStr">
        <is>
          <t>Contrato</t>
        </is>
      </c>
      <c r="C97" t="inlineStr">
        <is>
          <t>Contrato sobre facturación - Sunass</t>
        </is>
      </c>
      <c r="D97" s="7" t="n">
        <v>45875</v>
      </c>
      <c r="E97" t="inlineStr">
        <is>
          <t>Sunass</t>
        </is>
      </c>
      <c r="F97" t="inlineStr">
        <is>
          <t>Mesa de Partes</t>
        </is>
      </c>
      <c r="G97" t="inlineStr">
        <is>
          <t>Financiero</t>
        </is>
      </c>
      <c r="H97" t="inlineStr">
        <is>
          <t>Vigente</t>
        </is>
      </c>
      <c r="I97" t="inlineStr">
        <is>
          <t>Público</t>
        </is>
      </c>
      <c r="J97" t="inlineStr">
        <is>
          <t>Baja</t>
        </is>
      </c>
      <c r="K97" t="inlineStr">
        <is>
          <t>El presente documento corresponde a un contrato emitido por Sunass, relacionado con facturación, monto y cronograma de pagos. El área responsable es Mesa de Partes.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7" t="inlineStr">
        <is>
          <t>Contrato de Sunass asociado a facturación y gestionado por Mesa de Partes.</t>
        </is>
      </c>
      <c r="M97" t="inlineStr">
        <is>
          <t>Financiero, Contrato, facturación, monto, cronograma de pagos</t>
        </is>
      </c>
      <c r="N97" t="inlineStr">
        <is>
          <t>¿Qué indica el documento DOC-0096 sobre facturación?</t>
        </is>
      </c>
      <c r="O97" t="inlineStr">
        <is>
          <t>El documento DOC-0096 indica que se debe revisar facturación, validar antecedentes y coordinar acciones con el área Mesa de Partes.</t>
        </is>
      </c>
      <c r="P97" t="inlineStr">
        <is>
          <t>DOC-0096_Contrato.pdf</t>
        </is>
      </c>
      <c r="Q97" t="inlineStr">
        <is>
          <t>Registro sintético para entrenamiento inicial del agente documental.</t>
        </is>
      </c>
    </row>
    <row r="98">
      <c r="A98" t="inlineStr">
        <is>
          <t>DOC-0097</t>
        </is>
      </c>
      <c r="B98" t="inlineStr">
        <is>
          <t>Resolución</t>
        </is>
      </c>
      <c r="C98" t="inlineStr">
        <is>
          <t>Resolución sobre cláusulas de servicio - Minam</t>
        </is>
      </c>
      <c r="D98" s="7" t="n">
        <v>45792</v>
      </c>
      <c r="E98" t="inlineStr">
        <is>
          <t>Minam</t>
        </is>
      </c>
      <c r="F98" t="inlineStr">
        <is>
          <t>Administración</t>
        </is>
      </c>
      <c r="G98" t="inlineStr">
        <is>
          <t>Legal</t>
        </is>
      </c>
      <c r="H98" t="inlineStr">
        <is>
          <t>En revisión</t>
        </is>
      </c>
      <c r="I98" t="inlineStr">
        <is>
          <t>Público</t>
        </is>
      </c>
      <c r="J98" t="inlineStr">
        <is>
          <t>Crítica</t>
        </is>
      </c>
      <c r="K98" t="inlineStr">
        <is>
          <t>El presente documento corresponde a un resolución emitido por Minam, relacionado con cláusulas de servicio, obligaciones contractuales y penalidades. El área responsable es Administración.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8" t="inlineStr">
        <is>
          <t>Resolución de Minam asociado a cláusulas de servicio y gestionado por Administración.</t>
        </is>
      </c>
      <c r="M98" t="inlineStr">
        <is>
          <t>Legal, Resolución, cláusulas de servicio, obligaciones contractuales, penalidades</t>
        </is>
      </c>
      <c r="N98" t="inlineStr">
        <is>
          <t>¿Qué indica el documento DOC-0097 sobre cláusulas de servicio?</t>
        </is>
      </c>
      <c r="O98" t="inlineStr">
        <is>
          <t>El documento DOC-0097 indica que se debe revisar cláusulas de servicio, validar antecedentes y coordinar acciones con el área Administración.</t>
        </is>
      </c>
      <c r="P98" t="inlineStr">
        <is>
          <t>DOC-0097_Resolución.pdf</t>
        </is>
      </c>
      <c r="Q98" t="inlineStr">
        <is>
          <t>Registro sintético para entrenamiento inicial del agente documental.</t>
        </is>
      </c>
    </row>
    <row r="99">
      <c r="A99" t="inlineStr">
        <is>
          <t>DOC-0098</t>
        </is>
      </c>
      <c r="B99" t="inlineStr">
        <is>
          <t>Expediente</t>
        </is>
      </c>
      <c r="C99" t="inlineStr">
        <is>
          <t>Expediente sobre obligaciones contractuales - Grupo Gloria</t>
        </is>
      </c>
      <c r="D99" s="7" t="n">
        <v>45678</v>
      </c>
      <c r="E99" t="inlineStr">
        <is>
          <t>Grupo Gloria</t>
        </is>
      </c>
      <c r="F99" t="inlineStr">
        <is>
          <t>TI</t>
        </is>
      </c>
      <c r="G99" t="inlineStr">
        <is>
          <t>Legal</t>
        </is>
      </c>
      <c r="H99" t="inlineStr">
        <is>
          <t>En revisión</t>
        </is>
      </c>
      <c r="I99" t="inlineStr">
        <is>
          <t>Confidencial</t>
        </is>
      </c>
      <c r="J99" t="inlineStr">
        <is>
          <t>Crítica</t>
        </is>
      </c>
      <c r="K99" t="inlineStr">
        <is>
          <t>El presente documento corresponde a un expediente emitido por Grupo Gloria, relacionado con obligaciones contractuales, vigencia contractual y penalidades. El área responsable es TI.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99" t="inlineStr">
        <is>
          <t>Expediente de Grupo Gloria asociado a obligaciones contractuales y gestionado por TI.</t>
        </is>
      </c>
      <c r="M99" t="inlineStr">
        <is>
          <t>Legal, Expediente, obligaciones contractuales, vigencia contractual, penalidades</t>
        </is>
      </c>
      <c r="N99" t="inlineStr">
        <is>
          <t>¿Qué indica el documento DOC-0098 sobre obligaciones contractuales?</t>
        </is>
      </c>
      <c r="O99" t="inlineStr">
        <is>
          <t>El documento DOC-0098 indica que se debe revisar obligaciones contractuales, validar antecedentes y coordinar acciones con el área TI.</t>
        </is>
      </c>
      <c r="P99" t="inlineStr">
        <is>
          <t>DOC-0098_Expediente.pdf</t>
        </is>
      </c>
      <c r="Q99" t="inlineStr">
        <is>
          <t>Registro sintético para entrenamiento inicial del agente documental.</t>
        </is>
      </c>
    </row>
    <row r="100">
      <c r="A100" t="inlineStr">
        <is>
          <t>DOC-0099</t>
        </is>
      </c>
      <c r="B100" t="inlineStr">
        <is>
          <t>Expediente</t>
        </is>
      </c>
      <c r="C100" t="inlineStr">
        <is>
          <t>Expediente sobre condiciones de pago - Luz del Sur</t>
        </is>
      </c>
      <c r="D100" s="7" t="n">
        <v>45935</v>
      </c>
      <c r="E100" t="inlineStr">
        <is>
          <t>Luz del Sur</t>
        </is>
      </c>
      <c r="F100" t="inlineStr">
        <is>
          <t>Comercial</t>
        </is>
      </c>
      <c r="G100" t="inlineStr">
        <is>
          <t>Comercial</t>
        </is>
      </c>
      <c r="H100" t="inlineStr">
        <is>
          <t>Vigente</t>
        </is>
      </c>
      <c r="I100" t="inlineStr">
        <is>
          <t>Confidencial</t>
        </is>
      </c>
      <c r="J100" t="inlineStr">
        <is>
          <t>Baja</t>
        </is>
      </c>
      <c r="K100" t="inlineStr">
        <is>
          <t>El presente documento corresponde a un expediente emitido por Luz del Sur, relacionado con condiciones de pago, propuesta económica y alcance comercial. El área responsable es Comercial.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0" t="inlineStr">
        <is>
          <t>Expediente de Luz del Sur asociado a condiciones de pago y gestionado por Comercial.</t>
        </is>
      </c>
      <c r="M100" t="inlineStr">
        <is>
          <t>Comercial, Expediente, condiciones de pago, propuesta económica, alcance comercial</t>
        </is>
      </c>
      <c r="N100" t="inlineStr">
        <is>
          <t>¿Qué indica el documento DOC-0099 sobre condiciones de pago?</t>
        </is>
      </c>
      <c r="O100" t="inlineStr">
        <is>
          <t>El documento DOC-0099 indica que se debe revisar condiciones de pago, validar antecedentes y coordinar acciones con el área Comercial.</t>
        </is>
      </c>
      <c r="P100" t="inlineStr">
        <is>
          <t>DOC-0099_Expediente.pdf</t>
        </is>
      </c>
      <c r="Q100" t="inlineStr">
        <is>
          <t>Registro sintético para entrenamiento inicial del agente documental.</t>
        </is>
      </c>
    </row>
    <row r="101">
      <c r="A101" t="inlineStr">
        <is>
          <t>DOC-0100</t>
        </is>
      </c>
      <c r="B101" t="inlineStr">
        <is>
          <t>Informe Técnico</t>
        </is>
      </c>
      <c r="C101" t="inlineStr">
        <is>
          <t>Informe Técnico sobre obligaciones contractuales - OEFA</t>
        </is>
      </c>
      <c r="D101" s="7" t="n">
        <v>45957</v>
      </c>
      <c r="E101" t="inlineStr">
        <is>
          <t>OEFA</t>
        </is>
      </c>
      <c r="F101" t="inlineStr">
        <is>
          <t>Comercial</t>
        </is>
      </c>
      <c r="G101" t="inlineStr">
        <is>
          <t>Legal</t>
        </is>
      </c>
      <c r="H101" t="inlineStr">
        <is>
          <t>Observado</t>
        </is>
      </c>
      <c r="I101" t="inlineStr">
        <is>
          <t>Público</t>
        </is>
      </c>
      <c r="J101" t="inlineStr">
        <is>
          <t>Media</t>
        </is>
      </c>
      <c r="K101" t="inlineStr">
        <is>
          <t>El presente documento corresponde a un informe técnico emitido por OEFA, relacionado con obligaciones contractuales, cumplimiento normativo y penalidades. El área responsable es Comercial.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1" t="inlineStr">
        <is>
          <t>Informe Técnico de OEFA asociado a obligaciones contractuales y gestionado por Comercial.</t>
        </is>
      </c>
      <c r="M101" t="inlineStr">
        <is>
          <t>Legal, Informe Técnico, obligaciones contractuales, cumplimiento normativo, penalidades</t>
        </is>
      </c>
      <c r="N101" t="inlineStr">
        <is>
          <t>¿Qué indica el documento DOC-0100 sobre obligaciones contractuales?</t>
        </is>
      </c>
      <c r="O101" t="inlineStr">
        <is>
          <t>El documento DOC-0100 indica que se debe revisar obligaciones contractuales, validar antecedentes y coordinar acciones con el área Comercial.</t>
        </is>
      </c>
      <c r="P101" t="inlineStr">
        <is>
          <t>DOC-0100_Informe_Técnico.pdf</t>
        </is>
      </c>
      <c r="Q101" t="inlineStr">
        <is>
          <t>Registro sintético para entrenamiento inicial del agente documental.</t>
        </is>
      </c>
    </row>
    <row r="102">
      <c r="A102" t="inlineStr">
        <is>
          <t>DOC-0101</t>
        </is>
      </c>
      <c r="B102" t="inlineStr">
        <is>
          <t>Informe Técnico</t>
        </is>
      </c>
      <c r="C102" t="inlineStr">
        <is>
          <t>Informe Técnico sobre clasificación documental - Grupo Gloria</t>
        </is>
      </c>
      <c r="D102" s="7" t="n">
        <v>45668</v>
      </c>
      <c r="E102" t="inlineStr">
        <is>
          <t>Grupo Gloria</t>
        </is>
      </c>
      <c r="F102" t="inlineStr">
        <is>
          <t>Gestión Documental</t>
        </is>
      </c>
      <c r="G102" t="inlineStr">
        <is>
          <t>Gestión Documental</t>
        </is>
      </c>
      <c r="H102" t="inlineStr">
        <is>
          <t>En revisión</t>
        </is>
      </c>
      <c r="I102" t="inlineStr">
        <is>
          <t>Confidencial</t>
        </is>
      </c>
      <c r="J102" t="inlineStr">
        <is>
          <t>Crítica</t>
        </is>
      </c>
      <c r="K102" t="inlineStr">
        <is>
          <t>El presente documento corresponde a un informe técnico emitido por Grupo Gloria, relacionado con clasificación documental, trazabilidad y búsqueda semántica. El área responsable es Gestión Documental.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2" t="inlineStr">
        <is>
          <t>Informe Técnico de Grupo Gloria asociado a clasificación documental y gestionado por Gestión Documental.</t>
        </is>
      </c>
      <c r="M102" t="inlineStr">
        <is>
          <t>Gestión Documental, Informe Técnico, clasificación documental, trazabilidad, búsqueda semántica</t>
        </is>
      </c>
      <c r="N102" t="inlineStr">
        <is>
          <t>¿Qué indica el documento DOC-0101 sobre clasificación documental?</t>
        </is>
      </c>
      <c r="O102" t="inlineStr">
        <is>
          <t>El documento DOC-0101 indica que se debe revisar clasificación documental, validar antecedentes y coordinar acciones con el área Gestión Documental.</t>
        </is>
      </c>
      <c r="P102" t="inlineStr">
        <is>
          <t>DOC-0101_Informe_Técnico.pdf</t>
        </is>
      </c>
      <c r="Q102" t="inlineStr">
        <is>
          <t>Registro sintético para entrenamiento inicial del agente documental.</t>
        </is>
      </c>
    </row>
    <row r="103">
      <c r="A103" t="inlineStr">
        <is>
          <t>DOC-0102</t>
        </is>
      </c>
      <c r="B103" t="inlineStr">
        <is>
          <t>Resolución</t>
        </is>
      </c>
      <c r="C103" t="inlineStr">
        <is>
          <t>Resolución sobre aprobación - Servir</t>
        </is>
      </c>
      <c r="D103" s="7" t="n">
        <v>45921</v>
      </c>
      <c r="E103" t="inlineStr">
        <is>
          <t>Servir</t>
        </is>
      </c>
      <c r="F103" t="inlineStr">
        <is>
          <t>Comercial</t>
        </is>
      </c>
      <c r="G103" t="inlineStr">
        <is>
          <t>Administrativo</t>
        </is>
      </c>
      <c r="H103" t="inlineStr">
        <is>
          <t>En revisión</t>
        </is>
      </c>
      <c r="I103" t="inlineStr">
        <is>
          <t>Interno</t>
        </is>
      </c>
      <c r="J103" t="inlineStr">
        <is>
          <t>Media</t>
        </is>
      </c>
      <c r="K103" t="inlineStr">
        <is>
          <t>El presente documento corresponde a un resolución emitido por Servir, relacionado con aprobación, seguimiento y derivación interna. El área responsable es Comercial.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3" t="inlineStr">
        <is>
          <t>Resolución de Servir asociado a aprobación y gestionado por Comercial.</t>
        </is>
      </c>
      <c r="M103" t="inlineStr">
        <is>
          <t>Administrativo, Resolución, aprobación, seguimiento, derivación interna</t>
        </is>
      </c>
      <c r="N103" t="inlineStr">
        <is>
          <t>¿Qué indica el documento DOC-0102 sobre aprobación?</t>
        </is>
      </c>
      <c r="O103" t="inlineStr">
        <is>
          <t>El documento DOC-0102 indica que se debe revisar aprobación, validar antecedentes y coordinar acciones con el área Comercial.</t>
        </is>
      </c>
      <c r="P103" t="inlineStr">
        <is>
          <t>DOC-0102_Resolución.pdf</t>
        </is>
      </c>
      <c r="Q103" t="inlineStr">
        <is>
          <t>Registro sintético para entrenamiento inicial del agente documental.</t>
        </is>
      </c>
    </row>
    <row r="104">
      <c r="A104" t="inlineStr">
        <is>
          <t>DOC-0103</t>
        </is>
      </c>
      <c r="B104" t="inlineStr">
        <is>
          <t>Contrato</t>
        </is>
      </c>
      <c r="C104" t="inlineStr">
        <is>
          <t>Contrato sobre gestión operativa - Servir</t>
        </is>
      </c>
      <c r="D104" s="7" t="n">
        <v>45881</v>
      </c>
      <c r="E104" t="inlineStr">
        <is>
          <t>Servir</t>
        </is>
      </c>
      <c r="F104" t="inlineStr">
        <is>
          <t>Operaciones</t>
        </is>
      </c>
      <c r="G104" t="inlineStr">
        <is>
          <t>Operaciones</t>
        </is>
      </c>
      <c r="H104" t="inlineStr">
        <is>
          <t>Pendiente</t>
        </is>
      </c>
      <c r="I104" t="inlineStr">
        <is>
          <t>Interno</t>
        </is>
      </c>
      <c r="J104" t="inlineStr">
        <is>
          <t>Alta</t>
        </is>
      </c>
      <c r="K104" t="inlineStr">
        <is>
          <t>El presente documento corresponde a un contrato emitido por Servir, relacionado con gestión operativa, atención de solicitudes y incidencias.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4" t="inlineStr">
        <is>
          <t>Contrato de Servir asociado a gestión operativa y gestionado por Operaciones.</t>
        </is>
      </c>
      <c r="M104" t="inlineStr">
        <is>
          <t>Operaciones, Contrato, gestión operativa, atención de solicitudes, incidencias</t>
        </is>
      </c>
      <c r="N104" t="inlineStr">
        <is>
          <t>¿Qué indica el documento DOC-0103 sobre gestión operativa?</t>
        </is>
      </c>
      <c r="O104" t="inlineStr">
        <is>
          <t>El documento DOC-0103 indica que se debe revisar gestión operativa, validar antecedentes y coordinar acciones con el área Operaciones.</t>
        </is>
      </c>
      <c r="P104" t="inlineStr">
        <is>
          <t>DOC-0103_Contrato.pdf</t>
        </is>
      </c>
      <c r="Q104" t="inlineStr">
        <is>
          <t>Registro sintético para entrenamiento inicial del agente documental.</t>
        </is>
      </c>
    </row>
    <row r="105">
      <c r="A105" t="inlineStr">
        <is>
          <t>DOC-0104</t>
        </is>
      </c>
      <c r="B105" t="inlineStr">
        <is>
          <t>Informe Técnico</t>
        </is>
      </c>
      <c r="C105" t="inlineStr">
        <is>
          <t>Informe Técnico sobre arquitectura tecnológica - Sunass</t>
        </is>
      </c>
      <c r="D105" s="7" t="n">
        <v>45970</v>
      </c>
      <c r="E105" t="inlineStr">
        <is>
          <t>Sunass</t>
        </is>
      </c>
      <c r="F105" t="inlineStr">
        <is>
          <t>Soporte</t>
        </is>
      </c>
      <c r="G105" t="inlineStr">
        <is>
          <t>Técnico</t>
        </is>
      </c>
      <c r="H105" t="inlineStr">
        <is>
          <t>Observado</t>
        </is>
      </c>
      <c r="I105" t="inlineStr">
        <is>
          <t>Público</t>
        </is>
      </c>
      <c r="J105" t="inlineStr">
        <is>
          <t>Media</t>
        </is>
      </c>
      <c r="K105" t="inlineStr">
        <is>
          <t>El presente documento corresponde a un informe técnico emitido por Sunass, relacionado con arquitectura tecnológica, base de datos y integración de sistemas. El área responsable es Soporte.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5" t="inlineStr">
        <is>
          <t>Informe Técnico de Sunass asociado a arquitectura tecnológica y gestionado por Soporte.</t>
        </is>
      </c>
      <c r="M105" t="inlineStr">
        <is>
          <t>Técnico, Informe Técnico, arquitectura tecnológica, base de datos, integración de sistemas</t>
        </is>
      </c>
      <c r="N105" t="inlineStr">
        <is>
          <t>¿Qué indica el documento DOC-0104 sobre arquitectura tecnológica?</t>
        </is>
      </c>
      <c r="O105" t="inlineStr">
        <is>
          <t>El documento DOC-0104 indica que se debe revisar arquitectura tecnológica, validar antecedentes y coordinar acciones con el área Soporte.</t>
        </is>
      </c>
      <c r="P105" t="inlineStr">
        <is>
          <t>DOC-0104_Informe_Técnico.pdf</t>
        </is>
      </c>
      <c r="Q105" t="inlineStr">
        <is>
          <t>Registro sintético para entrenamiento inicial del agente documental.</t>
        </is>
      </c>
    </row>
    <row r="106">
      <c r="A106" t="inlineStr">
        <is>
          <t>DOC-0105</t>
        </is>
      </c>
      <c r="B106" t="inlineStr">
        <is>
          <t>Expediente</t>
        </is>
      </c>
      <c r="C106" t="inlineStr">
        <is>
          <t>Expediente sobre alcance comercial - Osinergmin</t>
        </is>
      </c>
      <c r="D106" s="7" t="n">
        <v>45909</v>
      </c>
      <c r="E106" t="inlineStr">
        <is>
          <t>Osinergmin</t>
        </is>
      </c>
      <c r="F106" t="inlineStr">
        <is>
          <t>Administración</t>
        </is>
      </c>
      <c r="G106" t="inlineStr">
        <is>
          <t>Comercial</t>
        </is>
      </c>
      <c r="H106" t="inlineStr">
        <is>
          <t>Vigente</t>
        </is>
      </c>
      <c r="I106" t="inlineStr">
        <is>
          <t>Público</t>
        </is>
      </c>
      <c r="J106" t="inlineStr">
        <is>
          <t>Media</t>
        </is>
      </c>
      <c r="K106" t="inlineStr">
        <is>
          <t>El presente documento corresponde a un expediente emitido por Osinergmin, relacionado con alcance comercial, servicio contratado y renovación. El área responsable es Administración.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6" t="inlineStr">
        <is>
          <t>Expediente de Osinergmin asociado a alcance comercial y gestionado por Administración.</t>
        </is>
      </c>
      <c r="M106" t="inlineStr">
        <is>
          <t>Comercial, Expediente, alcance comercial, servicio contratado, renovación</t>
        </is>
      </c>
      <c r="N106" t="inlineStr">
        <is>
          <t>¿Qué indica el documento DOC-0105 sobre alcance comercial?</t>
        </is>
      </c>
      <c r="O106" t="inlineStr">
        <is>
          <t>El documento DOC-0105 indica que se debe revisar alcance comercial, validar antecedentes y coordinar acciones con el área Administración.</t>
        </is>
      </c>
      <c r="P106" t="inlineStr">
        <is>
          <t>DOC-0105_Expediente.pdf</t>
        </is>
      </c>
      <c r="Q106" t="inlineStr">
        <is>
          <t>Registro sintético para entrenamiento inicial del agente documental.</t>
        </is>
      </c>
    </row>
    <row r="107">
      <c r="A107" t="inlineStr">
        <is>
          <t>DOC-0106</t>
        </is>
      </c>
      <c r="B107" t="inlineStr">
        <is>
          <t>Contrato</t>
        </is>
      </c>
      <c r="C107" t="inlineStr">
        <is>
          <t>Contrato sobre escalamiento - Cliente Privado</t>
        </is>
      </c>
      <c r="D107" s="7" t="n">
        <v>45873</v>
      </c>
      <c r="E107" t="inlineStr">
        <is>
          <t>Cliente Privado</t>
        </is>
      </c>
      <c r="F107" t="inlineStr">
        <is>
          <t>Mesa de Partes</t>
        </is>
      </c>
      <c r="G107" t="inlineStr">
        <is>
          <t>Soporte</t>
        </is>
      </c>
      <c r="H107" t="inlineStr">
        <is>
          <t>Archivado</t>
        </is>
      </c>
      <c r="I107" t="inlineStr">
        <is>
          <t>Confidencial</t>
        </is>
      </c>
      <c r="J107" t="inlineStr">
        <is>
          <t>Media</t>
        </is>
      </c>
      <c r="K107" t="inlineStr">
        <is>
          <t>El presente documento corresponde a un contrato emitido por Cliente Privado, relacionado con escalamiento, mesa de ayuda y cierre de ticket. El área responsable es Mesa de Partes.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7" t="inlineStr">
        <is>
          <t>Contrato de Cliente Privado asociado a escalamiento y gestionado por Mesa de Partes.</t>
        </is>
      </c>
      <c r="M107" t="inlineStr">
        <is>
          <t>Soporte, Contrato, escalamiento, mesa de ayuda, cierre de ticket</t>
        </is>
      </c>
      <c r="N107" t="inlineStr">
        <is>
          <t>¿Qué indica el documento DOC-0106 sobre escalamiento?</t>
        </is>
      </c>
      <c r="O107" t="inlineStr">
        <is>
          <t>El documento DOC-0106 indica que se debe revisar escalamiento, validar antecedentes y coordinar acciones con el área Mesa de Partes.</t>
        </is>
      </c>
      <c r="P107" t="inlineStr">
        <is>
          <t>DOC-0106_Contrato.pdf</t>
        </is>
      </c>
      <c r="Q107" t="inlineStr">
        <is>
          <t>Registro sintético para entrenamiento inicial del agente documental.</t>
        </is>
      </c>
    </row>
    <row r="108">
      <c r="A108" t="inlineStr">
        <is>
          <t>DOC-0107</t>
        </is>
      </c>
      <c r="B108" t="inlineStr">
        <is>
          <t>Informe Técnico</t>
        </is>
      </c>
      <c r="C108" t="inlineStr">
        <is>
          <t>Informe Técnico sobre SLA - APN</t>
        </is>
      </c>
      <c r="D108" s="7" t="n">
        <v>46072</v>
      </c>
      <c r="E108" t="inlineStr">
        <is>
          <t>APN</t>
        </is>
      </c>
      <c r="F108" t="inlineStr">
        <is>
          <t>Mesa de Partes</t>
        </is>
      </c>
      <c r="G108" t="inlineStr">
        <is>
          <t>Operaciones</t>
        </is>
      </c>
      <c r="H108" t="inlineStr">
        <is>
          <t>Vigente</t>
        </is>
      </c>
      <c r="I108" t="inlineStr">
        <is>
          <t>Interno</t>
        </is>
      </c>
      <c r="J108" t="inlineStr">
        <is>
          <t>Crítica</t>
        </is>
      </c>
      <c r="K108" t="inlineStr">
        <is>
          <t>El presente documento corresponde a un informe técnico emitido por APN, relacionado con SLA, atención de solicitudes y gestión operativa. El área responsable es Mesa de Partes.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8" t="inlineStr">
        <is>
          <t>Informe Técnico de APN asociado a SLA y gestionado por Mesa de Partes.</t>
        </is>
      </c>
      <c r="M108" t="inlineStr">
        <is>
          <t>Operaciones, Informe Técnico, SLA, atención de solicitudes, gestión operativa</t>
        </is>
      </c>
      <c r="N108" t="inlineStr">
        <is>
          <t>¿Qué indica el documento DOC-0107 sobre SLA?</t>
        </is>
      </c>
      <c r="O108" t="inlineStr">
        <is>
          <t>El documento DOC-0107 indica que se debe revisar SLA, validar antecedentes y coordinar acciones con el área Mesa de Partes.</t>
        </is>
      </c>
      <c r="P108" t="inlineStr">
        <is>
          <t>DOC-0107_Informe_Técnico.pdf</t>
        </is>
      </c>
      <c r="Q108" t="inlineStr">
        <is>
          <t>Registro sintético para entrenamiento inicial del agente documental.</t>
        </is>
      </c>
    </row>
    <row r="109">
      <c r="A109" t="inlineStr">
        <is>
          <t>DOC-0108</t>
        </is>
      </c>
      <c r="B109" t="inlineStr">
        <is>
          <t>Reclamo</t>
        </is>
      </c>
      <c r="C109" t="inlineStr">
        <is>
          <t>Reclamo sobre cláusulas de servicio - Grupo Gloria</t>
        </is>
      </c>
      <c r="D109" s="7" t="n">
        <v>45964</v>
      </c>
      <c r="E109" t="inlineStr">
        <is>
          <t>Grupo Gloria</t>
        </is>
      </c>
      <c r="F109" t="inlineStr">
        <is>
          <t>TI</t>
        </is>
      </c>
      <c r="G109" t="inlineStr">
        <is>
          <t>Legal</t>
        </is>
      </c>
      <c r="H109" t="inlineStr">
        <is>
          <t>Pendiente</t>
        </is>
      </c>
      <c r="I109" t="inlineStr">
        <is>
          <t>Interno</t>
        </is>
      </c>
      <c r="J109" t="inlineStr">
        <is>
          <t>Alta</t>
        </is>
      </c>
      <c r="K109" t="inlineStr">
        <is>
          <t>El presente documento corresponde a un reclamo emitido por Grupo Gloria, relacionado con cláusulas de servicio, obligaciones contractuales y penalidades. El área responsable es TI.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09" t="inlineStr">
        <is>
          <t>Reclamo de Grupo Gloria asociado a cláusulas de servicio y gestionado por TI.</t>
        </is>
      </c>
      <c r="M109" t="inlineStr">
        <is>
          <t>Legal, Reclamo, cláusulas de servicio, obligaciones contractuales, penalidades</t>
        </is>
      </c>
      <c r="N109" t="inlineStr">
        <is>
          <t>¿Qué indica el documento DOC-0108 sobre cláusulas de servicio?</t>
        </is>
      </c>
      <c r="O109" t="inlineStr">
        <is>
          <t>El documento DOC-0108 indica que se debe revisar cláusulas de servicio, validar antecedentes y coordinar acciones con el área TI.</t>
        </is>
      </c>
      <c r="P109" t="inlineStr">
        <is>
          <t>DOC-0108_Reclamo.pdf</t>
        </is>
      </c>
      <c r="Q109" t="inlineStr">
        <is>
          <t>Registro sintético para entrenamiento inicial del agente documental.</t>
        </is>
      </c>
    </row>
    <row r="110">
      <c r="A110" t="inlineStr">
        <is>
          <t>DOC-0109</t>
        </is>
      </c>
      <c r="B110" t="inlineStr">
        <is>
          <t>Contrato</t>
        </is>
      </c>
      <c r="C110" t="inlineStr">
        <is>
          <t>Contrato sobre escalamiento - Grupo Gloria</t>
        </is>
      </c>
      <c r="D110" s="7" t="n">
        <v>46183</v>
      </c>
      <c r="E110" t="inlineStr">
        <is>
          <t>Grupo Gloria</t>
        </is>
      </c>
      <c r="F110" t="inlineStr">
        <is>
          <t>Gestión Documental</t>
        </is>
      </c>
      <c r="G110" t="inlineStr">
        <is>
          <t>Soporte</t>
        </is>
      </c>
      <c r="H110" t="inlineStr">
        <is>
          <t>En revisión</t>
        </is>
      </c>
      <c r="I110" t="inlineStr">
        <is>
          <t>Confidencial</t>
        </is>
      </c>
      <c r="J110" t="inlineStr">
        <is>
          <t>Crítica</t>
        </is>
      </c>
      <c r="K110" t="inlineStr">
        <is>
          <t>El presente documento corresponde a un contrato emitido por Grupo Gloria, relacionado con escalamiento, cierre de ticket y mesa de ayuda. El área responsable es Gestión Documental.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0" t="inlineStr">
        <is>
          <t>Contrato de Grupo Gloria asociado a escalamiento y gestionado por Gestión Documental.</t>
        </is>
      </c>
      <c r="M110" t="inlineStr">
        <is>
          <t>Soporte, Contrato, escalamiento, cierre de ticket, mesa de ayuda</t>
        </is>
      </c>
      <c r="N110" t="inlineStr">
        <is>
          <t>¿Qué indica el documento DOC-0109 sobre escalamiento?</t>
        </is>
      </c>
      <c r="O110" t="inlineStr">
        <is>
          <t>El documento DOC-0109 indica que se debe revisar escalamiento, validar antecedentes y coordinar acciones con el área Gestión Documental.</t>
        </is>
      </c>
      <c r="P110" t="inlineStr">
        <is>
          <t>DOC-0109_Contrato.pdf</t>
        </is>
      </c>
      <c r="Q110" t="inlineStr">
        <is>
          <t>Registro sintético para entrenamiento inicial del agente documental.</t>
        </is>
      </c>
    </row>
    <row r="111">
      <c r="A111" t="inlineStr">
        <is>
          <t>DOC-0110</t>
        </is>
      </c>
      <c r="B111" t="inlineStr">
        <is>
          <t>Contrato</t>
        </is>
      </c>
      <c r="C111" t="inlineStr">
        <is>
          <t>Contrato sobre SLA - Ositran</t>
        </is>
      </c>
      <c r="D111" s="7" t="n">
        <v>45750</v>
      </c>
      <c r="E111" t="inlineStr">
        <is>
          <t>Ositran</t>
        </is>
      </c>
      <c r="F111" t="inlineStr">
        <is>
          <t>Soporte</t>
        </is>
      </c>
      <c r="G111" t="inlineStr">
        <is>
          <t>Operaciones</t>
        </is>
      </c>
      <c r="H111" t="inlineStr">
        <is>
          <t>En revisión</t>
        </is>
      </c>
      <c r="I111" t="inlineStr">
        <is>
          <t>Confidencial</t>
        </is>
      </c>
      <c r="J111" t="inlineStr">
        <is>
          <t>Baja</t>
        </is>
      </c>
      <c r="K111" t="inlineStr">
        <is>
          <t>El presente documento corresponde a un contrato emitido por Ositran, relacionado con SLA, atención de solicitudes y gestión operativa. El área responsable es Soporte.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1" t="inlineStr">
        <is>
          <t>Contrato de Ositran asociado a SLA y gestionado por Soporte.</t>
        </is>
      </c>
      <c r="M111" t="inlineStr">
        <is>
          <t>Operaciones, Contrato, SLA, atención de solicitudes, gestión operativa</t>
        </is>
      </c>
      <c r="N111" t="inlineStr">
        <is>
          <t>¿Qué indica el documento DOC-0110 sobre SLA?</t>
        </is>
      </c>
      <c r="O111" t="inlineStr">
        <is>
          <t>El documento DOC-0110 indica que se debe revisar SLA, validar antecedentes y coordinar acciones con el área Soporte.</t>
        </is>
      </c>
      <c r="P111" t="inlineStr">
        <is>
          <t>DOC-0110_Contrato.pdf</t>
        </is>
      </c>
      <c r="Q111" t="inlineStr">
        <is>
          <t>Registro sintético para entrenamiento inicial del agente documental.</t>
        </is>
      </c>
    </row>
    <row r="112">
      <c r="A112" t="inlineStr">
        <is>
          <t>DOC-0111</t>
        </is>
      </c>
      <c r="B112" t="inlineStr">
        <is>
          <t>Memorando</t>
        </is>
      </c>
      <c r="C112" t="inlineStr">
        <is>
          <t>Memorando sobre seguimiento - Minam</t>
        </is>
      </c>
      <c r="D112" s="7" t="n">
        <v>46021</v>
      </c>
      <c r="E112" t="inlineStr">
        <is>
          <t>Minam</t>
        </is>
      </c>
      <c r="F112" t="inlineStr">
        <is>
          <t>Soporte</t>
        </is>
      </c>
      <c r="G112" t="inlineStr">
        <is>
          <t>Administrativo</t>
        </is>
      </c>
      <c r="H112" t="inlineStr">
        <is>
          <t>Pendiente</t>
        </is>
      </c>
      <c r="I112" t="inlineStr">
        <is>
          <t>Interno</t>
        </is>
      </c>
      <c r="J112" t="inlineStr">
        <is>
          <t>Baja</t>
        </is>
      </c>
      <c r="K112" t="inlineStr">
        <is>
          <t>El presente documento corresponde a un memorando emitido por Minam, relacionado con seguimiento, aprobación y registro documentario. El área responsable es Soporte.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2" t="inlineStr">
        <is>
          <t>Memorando de Minam asociado a seguimiento y gestionado por Soporte.</t>
        </is>
      </c>
      <c r="M112" t="inlineStr">
        <is>
          <t>Administrativo, Memorando, seguimiento, aprobación, registro documentario</t>
        </is>
      </c>
      <c r="N112" t="inlineStr">
        <is>
          <t>¿Qué indica el documento DOC-0111 sobre seguimiento?</t>
        </is>
      </c>
      <c r="O112" t="inlineStr">
        <is>
          <t>El documento DOC-0111 indica que se debe revisar seguimiento, validar antecedentes y coordinar acciones con el área Soporte.</t>
        </is>
      </c>
      <c r="P112" t="inlineStr">
        <is>
          <t>DOC-0111_Memorando.pdf</t>
        </is>
      </c>
      <c r="Q112" t="inlineStr">
        <is>
          <t>Registro sintético para entrenamiento inicial del agente documental.</t>
        </is>
      </c>
    </row>
    <row r="113">
      <c r="A113" t="inlineStr">
        <is>
          <t>DOC-0112</t>
        </is>
      </c>
      <c r="B113" t="inlineStr">
        <is>
          <t>Oficio</t>
        </is>
      </c>
      <c r="C113" t="inlineStr">
        <is>
          <t>Oficio sobre obligaciones contractuales - BTG</t>
        </is>
      </c>
      <c r="D113" s="7" t="n">
        <v>45720</v>
      </c>
      <c r="E113" t="inlineStr">
        <is>
          <t>BTG</t>
        </is>
      </c>
      <c r="F113" t="inlineStr">
        <is>
          <t>Operaciones</t>
        </is>
      </c>
      <c r="G113" t="inlineStr">
        <is>
          <t>Legal</t>
        </is>
      </c>
      <c r="H113" t="inlineStr">
        <is>
          <t>En revisión</t>
        </is>
      </c>
      <c r="I113" t="inlineStr">
        <is>
          <t>Confidencial</t>
        </is>
      </c>
      <c r="J113" t="inlineStr">
        <is>
          <t>Crítica</t>
        </is>
      </c>
      <c r="K113" t="inlineStr">
        <is>
          <t>El presente documento corresponde a un oficio emitido por BTG, relacionado con obligaciones contractuales, cláusulas de servicio y cumplimiento normativo. El área responsable es Operaciones.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3" t="inlineStr">
        <is>
          <t>Oficio de BTG asociado a obligaciones contractuales y gestionado por Operaciones.</t>
        </is>
      </c>
      <c r="M113" t="inlineStr">
        <is>
          <t>Legal, Oficio, obligaciones contractuales, cláusulas de servicio, cumplimiento normativo</t>
        </is>
      </c>
      <c r="N113" t="inlineStr">
        <is>
          <t>¿Qué indica el documento DOC-0112 sobre obligaciones contractuales?</t>
        </is>
      </c>
      <c r="O113" t="inlineStr">
        <is>
          <t>El documento DOC-0112 indica que se debe revisar obligaciones contractuales, validar antecedentes y coordinar acciones con el área Operaciones.</t>
        </is>
      </c>
      <c r="P113" t="inlineStr">
        <is>
          <t>DOC-0112_Oficio.pdf</t>
        </is>
      </c>
      <c r="Q113" t="inlineStr">
        <is>
          <t>Registro sintético para entrenamiento inicial del agente documental.</t>
        </is>
      </c>
    </row>
    <row r="114">
      <c r="A114" t="inlineStr">
        <is>
          <t>DOC-0113</t>
        </is>
      </c>
      <c r="B114" t="inlineStr">
        <is>
          <t>Acta</t>
        </is>
      </c>
      <c r="C114" t="inlineStr">
        <is>
          <t>Acta sobre incidente reportado - APN</t>
        </is>
      </c>
      <c r="D114" s="7" t="n">
        <v>46053</v>
      </c>
      <c r="E114" t="inlineStr">
        <is>
          <t>APN</t>
        </is>
      </c>
      <c r="F114" t="inlineStr">
        <is>
          <t>Administración</t>
        </is>
      </c>
      <c r="G114" t="inlineStr">
        <is>
          <t>Soporte</t>
        </is>
      </c>
      <c r="H114" t="inlineStr">
        <is>
          <t>Pendiente</t>
        </is>
      </c>
      <c r="I114" t="inlineStr">
        <is>
          <t>Público</t>
        </is>
      </c>
      <c r="J114" t="inlineStr">
        <is>
          <t>Alta</t>
        </is>
      </c>
      <c r="K114" t="inlineStr">
        <is>
          <t>El presente documento corresponde a un acta emitido por APN, relacionado con incidente reportado, mesa de ayuda y escalamiento. El área responsable es Administración.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4" t="inlineStr">
        <is>
          <t>Acta de APN asociado a incidente reportado y gestionado por Administración.</t>
        </is>
      </c>
      <c r="M114" t="inlineStr">
        <is>
          <t>Soporte, Acta, incidente reportado, mesa de ayuda, escalamiento</t>
        </is>
      </c>
      <c r="N114" t="inlineStr">
        <is>
          <t>¿Qué indica el documento DOC-0113 sobre incidente reportado?</t>
        </is>
      </c>
      <c r="O114" t="inlineStr">
        <is>
          <t>El documento DOC-0113 indica que se debe revisar incidente reportado, validar antecedentes y coordinar acciones con el área Administración.</t>
        </is>
      </c>
      <c r="P114" t="inlineStr">
        <is>
          <t>DOC-0113_Acta.pdf</t>
        </is>
      </c>
      <c r="Q114" t="inlineStr">
        <is>
          <t>Registro sintético para entrenamiento inicial del agente documental.</t>
        </is>
      </c>
    </row>
    <row r="115">
      <c r="A115" t="inlineStr">
        <is>
          <t>DOC-0114</t>
        </is>
      </c>
      <c r="B115" t="inlineStr">
        <is>
          <t>Resolución</t>
        </is>
      </c>
      <c r="C115" t="inlineStr">
        <is>
          <t>Resolución sobre renovación - Luz del Sur</t>
        </is>
      </c>
      <c r="D115" s="7" t="n">
        <v>46009</v>
      </c>
      <c r="E115" t="inlineStr">
        <is>
          <t>Luz del Sur</t>
        </is>
      </c>
      <c r="F115" t="inlineStr">
        <is>
          <t>Soporte</t>
        </is>
      </c>
      <c r="G115" t="inlineStr">
        <is>
          <t>Comercial</t>
        </is>
      </c>
      <c r="H115" t="inlineStr">
        <is>
          <t>En revisión</t>
        </is>
      </c>
      <c r="I115" t="inlineStr">
        <is>
          <t>Confidencial</t>
        </is>
      </c>
      <c r="J115" t="inlineStr">
        <is>
          <t>Baja</t>
        </is>
      </c>
      <c r="K115" t="inlineStr">
        <is>
          <t>El presente documento corresponde a un resolución emitido por Luz del Sur, relacionado con renovación, condiciones de pago y alcance comercial. El área responsable es Soporte.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5" t="inlineStr">
        <is>
          <t>Resolución de Luz del Sur asociado a renovación y gestionado por Soporte.</t>
        </is>
      </c>
      <c r="M115" t="inlineStr">
        <is>
          <t>Comercial, Resolución, renovación, condiciones de pago, alcance comercial</t>
        </is>
      </c>
      <c r="N115" t="inlineStr">
        <is>
          <t>¿Qué indica el documento DOC-0114 sobre renovación?</t>
        </is>
      </c>
      <c r="O115" t="inlineStr">
        <is>
          <t>El documento DOC-0114 indica que se debe revisar renovación, validar antecedentes y coordinar acciones con el área Soporte.</t>
        </is>
      </c>
      <c r="P115" t="inlineStr">
        <is>
          <t>DOC-0114_Resolución.pdf</t>
        </is>
      </c>
      <c r="Q115" t="inlineStr">
        <is>
          <t>Registro sintético para entrenamiento inicial del agente documental.</t>
        </is>
      </c>
    </row>
    <row r="116">
      <c r="A116" t="inlineStr">
        <is>
          <t>DOC-0115</t>
        </is>
      </c>
      <c r="B116" t="inlineStr">
        <is>
          <t>Oficio</t>
        </is>
      </c>
      <c r="C116" t="inlineStr">
        <is>
          <t>Oficio sobre alcance comercial - Minam</t>
        </is>
      </c>
      <c r="D116" s="7" t="n">
        <v>46120</v>
      </c>
      <c r="E116" t="inlineStr">
        <is>
          <t>Minam</t>
        </is>
      </c>
      <c r="F116" t="inlineStr">
        <is>
          <t>Operaciones</t>
        </is>
      </c>
      <c r="G116" t="inlineStr">
        <is>
          <t>Comercial</t>
        </is>
      </c>
      <c r="H116" t="inlineStr">
        <is>
          <t>Pendiente</t>
        </is>
      </c>
      <c r="I116" t="inlineStr">
        <is>
          <t>Público</t>
        </is>
      </c>
      <c r="J116" t="inlineStr">
        <is>
          <t>Alta</t>
        </is>
      </c>
      <c r="K116" t="inlineStr">
        <is>
          <t>El presente documento corresponde a un oficio emitido por Minam, relacionado con alcance comercial, renovación y condiciones de pago.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6" t="inlineStr">
        <is>
          <t>Oficio de Minam asociado a alcance comercial y gestionado por Operaciones.</t>
        </is>
      </c>
      <c r="M116" t="inlineStr">
        <is>
          <t>Comercial, Oficio, alcance comercial, renovación, condiciones de pago</t>
        </is>
      </c>
      <c r="N116" t="inlineStr">
        <is>
          <t>¿Qué indica el documento DOC-0115 sobre alcance comercial?</t>
        </is>
      </c>
      <c r="O116" t="inlineStr">
        <is>
          <t>El documento DOC-0115 indica que se debe revisar alcance comercial, validar antecedentes y coordinar acciones con el área Operaciones.</t>
        </is>
      </c>
      <c r="P116" t="inlineStr">
        <is>
          <t>DOC-0115_Oficio.pdf</t>
        </is>
      </c>
      <c r="Q116" t="inlineStr">
        <is>
          <t>Registro sintético para entrenamiento inicial del agente documental.</t>
        </is>
      </c>
    </row>
    <row r="117">
      <c r="A117" t="inlineStr">
        <is>
          <t>DOC-0116</t>
        </is>
      </c>
      <c r="B117" t="inlineStr">
        <is>
          <t>Expediente</t>
        </is>
      </c>
      <c r="C117" t="inlineStr">
        <is>
          <t>Expediente sobre atención de solicitudes - Ositran</t>
        </is>
      </c>
      <c r="D117" s="7" t="n">
        <v>46184</v>
      </c>
      <c r="E117" t="inlineStr">
        <is>
          <t>Ositran</t>
        </is>
      </c>
      <c r="F117" t="inlineStr">
        <is>
          <t>QA</t>
        </is>
      </c>
      <c r="G117" t="inlineStr">
        <is>
          <t>Operaciones</t>
        </is>
      </c>
      <c r="H117" t="inlineStr">
        <is>
          <t>Pendiente</t>
        </is>
      </c>
      <c r="I117" t="inlineStr">
        <is>
          <t>Confidencial</t>
        </is>
      </c>
      <c r="J117" t="inlineStr">
        <is>
          <t>Baja</t>
        </is>
      </c>
      <c r="K117" t="inlineStr">
        <is>
          <t>El presente documento corresponde a un expediente emitido por Ositran, relacionado con atención de solicitudes, gestión operativa y incidencias. El área responsable es QA.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7" t="inlineStr">
        <is>
          <t>Expediente de Ositran asociado a atención de solicitudes y gestionado por QA.</t>
        </is>
      </c>
      <c r="M117" t="inlineStr">
        <is>
          <t>Operaciones, Expediente, atención de solicitudes, gestión operativa, incidencias</t>
        </is>
      </c>
      <c r="N117" t="inlineStr">
        <is>
          <t>¿Qué indica el documento DOC-0116 sobre atención de solicitudes?</t>
        </is>
      </c>
      <c r="O117" t="inlineStr">
        <is>
          <t>El documento DOC-0116 indica que se debe revisar atención de solicitudes, validar antecedentes y coordinar acciones con el área QA.</t>
        </is>
      </c>
      <c r="P117" t="inlineStr">
        <is>
          <t>DOC-0116_Expediente.pdf</t>
        </is>
      </c>
      <c r="Q117" t="inlineStr">
        <is>
          <t>Registro sintético para entrenamiento inicial del agente documental.</t>
        </is>
      </c>
    </row>
    <row r="118">
      <c r="A118" t="inlineStr">
        <is>
          <t>DOC-0117</t>
        </is>
      </c>
      <c r="B118" t="inlineStr">
        <is>
          <t>Memorando</t>
        </is>
      </c>
      <c r="C118" t="inlineStr">
        <is>
          <t>Memorando sobre búsqueda semántica - Osinergmin</t>
        </is>
      </c>
      <c r="D118" s="7" t="n">
        <v>45981</v>
      </c>
      <c r="E118" t="inlineStr">
        <is>
          <t>Osinergmin</t>
        </is>
      </c>
      <c r="F118" t="inlineStr">
        <is>
          <t>Mesa de Partes</t>
        </is>
      </c>
      <c r="G118" t="inlineStr">
        <is>
          <t>Gestión Documental</t>
        </is>
      </c>
      <c r="H118" t="inlineStr">
        <is>
          <t>En revisión</t>
        </is>
      </c>
      <c r="I118" t="inlineStr">
        <is>
          <t>Interno</t>
        </is>
      </c>
      <c r="J118" t="inlineStr">
        <is>
          <t>Crítica</t>
        </is>
      </c>
      <c r="K118" t="inlineStr">
        <is>
          <t>El presente documento corresponde a un memorando emitido por Osinergmin, relacionado con búsqueda semántica, expediente digital y trazabilidad. El área responsable es Mesa de Partes.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8" t="inlineStr">
        <is>
          <t>Memorando de Osinergmin asociado a búsqueda semántica y gestionado por Mesa de Partes.</t>
        </is>
      </c>
      <c r="M118" t="inlineStr">
        <is>
          <t>Gestión Documental, Memorando, búsqueda semántica, expediente digital, trazabilidad</t>
        </is>
      </c>
      <c r="N118" t="inlineStr">
        <is>
          <t>¿Qué indica el documento DOC-0117 sobre búsqueda semántica?</t>
        </is>
      </c>
      <c r="O118" t="inlineStr">
        <is>
          <t>El documento DOC-0117 indica que se debe revisar búsqueda semántica, validar antecedentes y coordinar acciones con el área Mesa de Partes.</t>
        </is>
      </c>
      <c r="P118" t="inlineStr">
        <is>
          <t>DOC-0117_Memorando.pdf</t>
        </is>
      </c>
      <c r="Q118" t="inlineStr">
        <is>
          <t>Registro sintético para entrenamiento inicial del agente documental.</t>
        </is>
      </c>
    </row>
    <row r="119">
      <c r="A119" t="inlineStr">
        <is>
          <t>DOC-0118</t>
        </is>
      </c>
      <c r="B119" t="inlineStr">
        <is>
          <t>Informe Técnico</t>
        </is>
      </c>
      <c r="C119" t="inlineStr">
        <is>
          <t>Informe Técnico sobre tiempo de atención - Cliente Privado</t>
        </is>
      </c>
      <c r="D119" s="7" t="n">
        <v>45708</v>
      </c>
      <c r="E119" t="inlineStr">
        <is>
          <t>Cliente Privado</t>
        </is>
      </c>
      <c r="F119" t="inlineStr">
        <is>
          <t>Administración</t>
        </is>
      </c>
      <c r="G119" t="inlineStr">
        <is>
          <t>Soporte</t>
        </is>
      </c>
      <c r="H119" t="inlineStr">
        <is>
          <t>Archivado</t>
        </is>
      </c>
      <c r="I119" t="inlineStr">
        <is>
          <t>Interno</t>
        </is>
      </c>
      <c r="J119" t="inlineStr">
        <is>
          <t>Alta</t>
        </is>
      </c>
      <c r="K119" t="inlineStr">
        <is>
          <t>El presente documento corresponde a un informe técnico emitido por Cliente Privado, relacionado con tiempo de atención, cierre de ticket y mesa de ayuda. El área responsable es Administración.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19" t="inlineStr">
        <is>
          <t>Informe Técnico de Cliente Privado asociado a tiempo de atención y gestionado por Administración.</t>
        </is>
      </c>
      <c r="M119" t="inlineStr">
        <is>
          <t>Soporte, Informe Técnico, tiempo de atención, cierre de ticket, mesa de ayuda</t>
        </is>
      </c>
      <c r="N119" t="inlineStr">
        <is>
          <t>¿Qué indica el documento DOC-0118 sobre tiempo de atención?</t>
        </is>
      </c>
      <c r="O119" t="inlineStr">
        <is>
          <t>El documento DOC-0118 indica que se debe revisar tiempo de atención, validar antecedentes y coordinar acciones con el área Administración.</t>
        </is>
      </c>
      <c r="P119" t="inlineStr">
        <is>
          <t>DOC-0118_Informe_Técnico.pdf</t>
        </is>
      </c>
      <c r="Q119" t="inlineStr">
        <is>
          <t>Registro sintético para entrenamiento inicial del agente documental.</t>
        </is>
      </c>
    </row>
    <row r="120">
      <c r="A120" t="inlineStr">
        <is>
          <t>DOC-0119</t>
        </is>
      </c>
      <c r="B120" t="inlineStr">
        <is>
          <t>Informe Técnico</t>
        </is>
      </c>
      <c r="C120" t="inlineStr">
        <is>
          <t>Informe Técnico sobre cláusulas de servicio - Servir</t>
        </is>
      </c>
      <c r="D120" s="7" t="n">
        <v>45703</v>
      </c>
      <c r="E120" t="inlineStr">
        <is>
          <t>Servir</t>
        </is>
      </c>
      <c r="F120" t="inlineStr">
        <is>
          <t>Administración</t>
        </is>
      </c>
      <c r="G120" t="inlineStr">
        <is>
          <t>Legal</t>
        </is>
      </c>
      <c r="H120" t="inlineStr">
        <is>
          <t>Archivado</t>
        </is>
      </c>
      <c r="I120" t="inlineStr">
        <is>
          <t>Confidencial</t>
        </is>
      </c>
      <c r="J120" t="inlineStr">
        <is>
          <t>Media</t>
        </is>
      </c>
      <c r="K120" t="inlineStr">
        <is>
          <t>El presente documento corresponde a un informe técnico emitido por Servir, relacionado con cláusulas de servicio, penalidades y vigencia contractual. El área responsable es Administración.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0" t="inlineStr">
        <is>
          <t>Informe Técnico de Servir asociado a cláusulas de servicio y gestionado por Administración.</t>
        </is>
      </c>
      <c r="M120" t="inlineStr">
        <is>
          <t>Legal, Informe Técnico, cláusulas de servicio, penalidades, vigencia contractual</t>
        </is>
      </c>
      <c r="N120" t="inlineStr">
        <is>
          <t>¿Qué indica el documento DOC-0119 sobre cláusulas de servicio?</t>
        </is>
      </c>
      <c r="O120" t="inlineStr">
        <is>
          <t>El documento DOC-0119 indica que se debe revisar cláusulas de servicio, validar antecedentes y coordinar acciones con el área Administración.</t>
        </is>
      </c>
      <c r="P120" t="inlineStr">
        <is>
          <t>DOC-0119_Informe_Técnico.pdf</t>
        </is>
      </c>
      <c r="Q120" t="inlineStr">
        <is>
          <t>Registro sintético para entrenamiento inicial del agente documental.</t>
        </is>
      </c>
    </row>
    <row r="121">
      <c r="A121" t="inlineStr">
        <is>
          <t>DOC-0120</t>
        </is>
      </c>
      <c r="B121" t="inlineStr">
        <is>
          <t>Carta</t>
        </is>
      </c>
      <c r="C121" t="inlineStr">
        <is>
          <t>Carta sobre metadatos - UTP</t>
        </is>
      </c>
      <c r="D121" s="7" t="n">
        <v>45695</v>
      </c>
      <c r="E121" t="inlineStr">
        <is>
          <t>UTP</t>
        </is>
      </c>
      <c r="F121" t="inlineStr">
        <is>
          <t>Administración</t>
        </is>
      </c>
      <c r="G121" t="inlineStr">
        <is>
          <t>Gestión Documental</t>
        </is>
      </c>
      <c r="H121" t="inlineStr">
        <is>
          <t>Observado</t>
        </is>
      </c>
      <c r="I121" t="inlineStr">
        <is>
          <t>Confidencial</t>
        </is>
      </c>
      <c r="J121" t="inlineStr">
        <is>
          <t>Crítica</t>
        </is>
      </c>
      <c r="K121" t="inlineStr">
        <is>
          <t>El presente documento corresponde a un carta emitido por UTP, relacionado con metadatos, trazabilidad y expediente digital. El área responsable es Administración.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1" t="inlineStr">
        <is>
          <t>Carta de UTP asociado a metadatos y gestionado por Administración.</t>
        </is>
      </c>
      <c r="M121" t="inlineStr">
        <is>
          <t>Gestión Documental, Carta, metadatos, trazabilidad, expediente digital</t>
        </is>
      </c>
      <c r="N121" t="inlineStr">
        <is>
          <t>¿Qué indica el documento DOC-0120 sobre metadatos?</t>
        </is>
      </c>
      <c r="O121" t="inlineStr">
        <is>
          <t>El documento DOC-0120 indica que se debe revisar metadatos, validar antecedentes y coordinar acciones con el área Administración.</t>
        </is>
      </c>
      <c r="P121" t="inlineStr">
        <is>
          <t>DOC-0120_Carta.pdf</t>
        </is>
      </c>
      <c r="Q121" t="inlineStr">
        <is>
          <t>Registro sintético para entrenamiento inicial del agente documental.</t>
        </is>
      </c>
    </row>
    <row r="122">
      <c r="A122" t="inlineStr">
        <is>
          <t>DOC-0121</t>
        </is>
      </c>
      <c r="B122" t="inlineStr">
        <is>
          <t>Acta</t>
        </is>
      </c>
      <c r="C122" t="inlineStr">
        <is>
          <t>Acta sobre archivo - OEFA</t>
        </is>
      </c>
      <c r="D122" s="7" t="n">
        <v>45679</v>
      </c>
      <c r="E122" t="inlineStr">
        <is>
          <t>OEFA</t>
        </is>
      </c>
      <c r="F122" t="inlineStr">
        <is>
          <t>QA</t>
        </is>
      </c>
      <c r="G122" t="inlineStr">
        <is>
          <t>Administrativo</t>
        </is>
      </c>
      <c r="H122" t="inlineStr">
        <is>
          <t>Pendiente</t>
        </is>
      </c>
      <c r="I122" t="inlineStr">
        <is>
          <t>Confidencial</t>
        </is>
      </c>
      <c r="J122" t="inlineStr">
        <is>
          <t>Media</t>
        </is>
      </c>
      <c r="K122" t="inlineStr">
        <is>
          <t>El presente documento corresponde a un acta emitido por OEFA, relacionado con archivo, aprobación y seguimiento. El área responsable es QA.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2" t="inlineStr">
        <is>
          <t>Acta de OEFA asociado a archivo y gestionado por QA.</t>
        </is>
      </c>
      <c r="M122" t="inlineStr">
        <is>
          <t>Administrativo, Acta, archivo, aprobación, seguimiento</t>
        </is>
      </c>
      <c r="N122" t="inlineStr">
        <is>
          <t>¿Qué indica el documento DOC-0121 sobre archivo?</t>
        </is>
      </c>
      <c r="O122" t="inlineStr">
        <is>
          <t>El documento DOC-0121 indica que se debe revisar archivo, validar antecedentes y coordinar acciones con el área QA.</t>
        </is>
      </c>
      <c r="P122" t="inlineStr">
        <is>
          <t>DOC-0121_Acta.pdf</t>
        </is>
      </c>
      <c r="Q122" t="inlineStr">
        <is>
          <t>Registro sintético para entrenamiento inicial del agente documental.</t>
        </is>
      </c>
    </row>
    <row r="123">
      <c r="A123" t="inlineStr">
        <is>
          <t>DOC-0122</t>
        </is>
      </c>
      <c r="B123" t="inlineStr">
        <is>
          <t>Memorando</t>
        </is>
      </c>
      <c r="C123" t="inlineStr">
        <is>
          <t>Memorando sobre clasificación documental - APN</t>
        </is>
      </c>
      <c r="D123" s="7" t="n">
        <v>45895</v>
      </c>
      <c r="E123" t="inlineStr">
        <is>
          <t>APN</t>
        </is>
      </c>
      <c r="F123" t="inlineStr">
        <is>
          <t>Soporte</t>
        </is>
      </c>
      <c r="G123" t="inlineStr">
        <is>
          <t>Gestión Documental</t>
        </is>
      </c>
      <c r="H123" t="inlineStr">
        <is>
          <t>Archivado</t>
        </is>
      </c>
      <c r="I123" t="inlineStr">
        <is>
          <t>Interno</t>
        </is>
      </c>
      <c r="J123" t="inlineStr">
        <is>
          <t>Baja</t>
        </is>
      </c>
      <c r="K123" t="inlineStr">
        <is>
          <t>El presente documento corresponde a un memorando emitido por APN, relacionado con clasificación documental, expediente digital y búsqueda semántica. El área responsable es Soporte.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3" t="inlineStr">
        <is>
          <t>Memorando de APN asociado a clasificación documental y gestionado por Soporte.</t>
        </is>
      </c>
      <c r="M123" t="inlineStr">
        <is>
          <t>Gestión Documental, Memorando, clasificación documental, expediente digital, búsqueda semántica</t>
        </is>
      </c>
      <c r="N123" t="inlineStr">
        <is>
          <t>¿Qué indica el documento DOC-0122 sobre clasificación documental?</t>
        </is>
      </c>
      <c r="O123" t="inlineStr">
        <is>
          <t>El documento DOC-0122 indica que se debe revisar clasificación documental, validar antecedentes y coordinar acciones con el área Soporte.</t>
        </is>
      </c>
      <c r="P123" t="inlineStr">
        <is>
          <t>DOC-0122_Memorando.pdf</t>
        </is>
      </c>
      <c r="Q123" t="inlineStr">
        <is>
          <t>Registro sintético para entrenamiento inicial del agente documental.</t>
        </is>
      </c>
    </row>
    <row r="124">
      <c r="A124" t="inlineStr">
        <is>
          <t>DOC-0123</t>
        </is>
      </c>
      <c r="B124" t="inlineStr">
        <is>
          <t>Memorando</t>
        </is>
      </c>
      <c r="C124" t="inlineStr">
        <is>
          <t>Memorando sobre atención de solicitudes - Cliente Privado</t>
        </is>
      </c>
      <c r="D124" s="7" t="n">
        <v>45886</v>
      </c>
      <c r="E124" t="inlineStr">
        <is>
          <t>Cliente Privado</t>
        </is>
      </c>
      <c r="F124" t="inlineStr">
        <is>
          <t>QA</t>
        </is>
      </c>
      <c r="G124" t="inlineStr">
        <is>
          <t>Operaciones</t>
        </is>
      </c>
      <c r="H124" t="inlineStr">
        <is>
          <t>En revisión</t>
        </is>
      </c>
      <c r="I124" t="inlineStr">
        <is>
          <t>Confidencial</t>
        </is>
      </c>
      <c r="J124" t="inlineStr">
        <is>
          <t>Crítica</t>
        </is>
      </c>
      <c r="K124" t="inlineStr">
        <is>
          <t>El presente documento corresponde a un memorando emitido por Cliente Privado, relacionado con atención de solicitudes, priorización y SLA. El área responsable es QA.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4" t="inlineStr">
        <is>
          <t>Memorando de Cliente Privado asociado a atención de solicitudes y gestionado por QA.</t>
        </is>
      </c>
      <c r="M124" t="inlineStr">
        <is>
          <t>Operaciones, Memorando, atención de solicitudes, priorización, SLA</t>
        </is>
      </c>
      <c r="N124" t="inlineStr">
        <is>
          <t>¿Qué indica el documento DOC-0123 sobre atención de solicitudes?</t>
        </is>
      </c>
      <c r="O124" t="inlineStr">
        <is>
          <t>El documento DOC-0123 indica que se debe revisar atención de solicitudes, validar antecedentes y coordinar acciones con el área QA.</t>
        </is>
      </c>
      <c r="P124" t="inlineStr">
        <is>
          <t>DOC-0123_Memorando.pdf</t>
        </is>
      </c>
      <c r="Q124" t="inlineStr">
        <is>
          <t>Registro sintético para entrenamiento inicial del agente documental.</t>
        </is>
      </c>
    </row>
    <row r="125">
      <c r="A125" t="inlineStr">
        <is>
          <t>DOC-0124</t>
        </is>
      </c>
      <c r="B125" t="inlineStr">
        <is>
          <t>Resolución</t>
        </is>
      </c>
      <c r="C125" t="inlineStr">
        <is>
          <t>Resolución sobre alcance comercial - UTP</t>
        </is>
      </c>
      <c r="D125" s="7" t="n">
        <v>45869</v>
      </c>
      <c r="E125" t="inlineStr">
        <is>
          <t>UTP</t>
        </is>
      </c>
      <c r="F125" t="inlineStr">
        <is>
          <t>Administración</t>
        </is>
      </c>
      <c r="G125" t="inlineStr">
        <is>
          <t>Comercial</t>
        </is>
      </c>
      <c r="H125" t="inlineStr">
        <is>
          <t>Archivado</t>
        </is>
      </c>
      <c r="I125" t="inlineStr">
        <is>
          <t>Confidencial</t>
        </is>
      </c>
      <c r="J125" t="inlineStr">
        <is>
          <t>Alta</t>
        </is>
      </c>
      <c r="K125" t="inlineStr">
        <is>
          <t>El presente documento corresponde a un resolución emitido por UTP, relacionado con alcance comercial, condiciones de pago y propuesta económica. El área responsable es Administración.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5" t="inlineStr">
        <is>
          <t>Resolución de UTP asociado a alcance comercial y gestionado por Administración.</t>
        </is>
      </c>
      <c r="M125" t="inlineStr">
        <is>
          <t>Comercial, Resolución, alcance comercial, condiciones de pago, propuesta económica</t>
        </is>
      </c>
      <c r="N125" t="inlineStr">
        <is>
          <t>¿Qué indica el documento DOC-0124 sobre alcance comercial?</t>
        </is>
      </c>
      <c r="O125" t="inlineStr">
        <is>
          <t>El documento DOC-0124 indica que se debe revisar alcance comercial, validar antecedentes y coordinar acciones con el área Administración.</t>
        </is>
      </c>
      <c r="P125" t="inlineStr">
        <is>
          <t>DOC-0124_Resolución.pdf</t>
        </is>
      </c>
      <c r="Q125" t="inlineStr">
        <is>
          <t>Registro sintético para entrenamiento inicial del agente documental.</t>
        </is>
      </c>
    </row>
    <row r="126">
      <c r="A126" t="inlineStr">
        <is>
          <t>DOC-0125</t>
        </is>
      </c>
      <c r="B126" t="inlineStr">
        <is>
          <t>Expediente</t>
        </is>
      </c>
      <c r="C126" t="inlineStr">
        <is>
          <t>Expediente sobre metadatos - COES</t>
        </is>
      </c>
      <c r="D126" s="7" t="n">
        <v>46095</v>
      </c>
      <c r="E126" t="inlineStr">
        <is>
          <t>COES</t>
        </is>
      </c>
      <c r="F126" t="inlineStr">
        <is>
          <t>Gestión Documental</t>
        </is>
      </c>
      <c r="G126" t="inlineStr">
        <is>
          <t>Gestión Documental</t>
        </is>
      </c>
      <c r="H126" t="inlineStr">
        <is>
          <t>Archivado</t>
        </is>
      </c>
      <c r="I126" t="inlineStr">
        <is>
          <t>Confidencial</t>
        </is>
      </c>
      <c r="J126" t="inlineStr">
        <is>
          <t>Alta</t>
        </is>
      </c>
      <c r="K126" t="inlineStr">
        <is>
          <t>El presente documento corresponde a un expediente emitido por COES, relacionado con metadatos, expediente digital y trazabilidad.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6" t="inlineStr">
        <is>
          <t>Expediente de COES asociado a metadatos y gestionado por Gestión Documental.</t>
        </is>
      </c>
      <c r="M126" t="inlineStr">
        <is>
          <t>Gestión Documental, Expediente, metadatos, expediente digital, trazabilidad</t>
        </is>
      </c>
      <c r="N126" t="inlineStr">
        <is>
          <t>¿Qué indica el documento DOC-0125 sobre metadatos?</t>
        </is>
      </c>
      <c r="O126" t="inlineStr">
        <is>
          <t>El documento DOC-0125 indica que se debe revisar metadatos, validar antecedentes y coordinar acciones con el área Gestión Documental.</t>
        </is>
      </c>
      <c r="P126" t="inlineStr">
        <is>
          <t>DOC-0125_Expediente.pdf</t>
        </is>
      </c>
      <c r="Q126" t="inlineStr">
        <is>
          <t>Registro sintético para entrenamiento inicial del agente documental.</t>
        </is>
      </c>
    </row>
    <row r="127">
      <c r="A127" t="inlineStr">
        <is>
          <t>DOC-0126</t>
        </is>
      </c>
      <c r="B127" t="inlineStr">
        <is>
          <t>Expediente</t>
        </is>
      </c>
      <c r="C127" t="inlineStr">
        <is>
          <t>Expediente sobre monto - UTP</t>
        </is>
      </c>
      <c r="D127" s="7" t="n">
        <v>45824</v>
      </c>
      <c r="E127" t="inlineStr">
        <is>
          <t>UTP</t>
        </is>
      </c>
      <c r="F127" t="inlineStr">
        <is>
          <t>Legal</t>
        </is>
      </c>
      <c r="G127" t="inlineStr">
        <is>
          <t>Financiero</t>
        </is>
      </c>
      <c r="H127" t="inlineStr">
        <is>
          <t>Pendiente</t>
        </is>
      </c>
      <c r="I127" t="inlineStr">
        <is>
          <t>Público</t>
        </is>
      </c>
      <c r="J127" t="inlineStr">
        <is>
          <t>Media</t>
        </is>
      </c>
      <c r="K127" t="inlineStr">
        <is>
          <t>El presente documento corresponde a un expediente emitido por UTP, relacionado con monto, validación contable y facturación. El área responsable es Legal.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7" t="inlineStr">
        <is>
          <t>Expediente de UTP asociado a monto y gestionado por Legal.</t>
        </is>
      </c>
      <c r="M127" t="inlineStr">
        <is>
          <t>Financiero, Expediente, monto, validación contable, facturación</t>
        </is>
      </c>
      <c r="N127" t="inlineStr">
        <is>
          <t>¿Qué indica el documento DOC-0126 sobre monto?</t>
        </is>
      </c>
      <c r="O127" t="inlineStr">
        <is>
          <t>El documento DOC-0126 indica que se debe revisar monto, validar antecedentes y coordinar acciones con el área Legal.</t>
        </is>
      </c>
      <c r="P127" t="inlineStr">
        <is>
          <t>DOC-0126_Expediente.pdf</t>
        </is>
      </c>
      <c r="Q127" t="inlineStr">
        <is>
          <t>Registro sintético para entrenamiento inicial del agente documental.</t>
        </is>
      </c>
    </row>
    <row r="128">
      <c r="A128" t="inlineStr">
        <is>
          <t>DOC-0127</t>
        </is>
      </c>
      <c r="B128" t="inlineStr">
        <is>
          <t>Solicitud</t>
        </is>
      </c>
      <c r="C128" t="inlineStr">
        <is>
          <t>Solicitud sobre obligaciones contractuales - Osinergmin</t>
        </is>
      </c>
      <c r="D128" s="7" t="n">
        <v>46040</v>
      </c>
      <c r="E128" t="inlineStr">
        <is>
          <t>Osinergmin</t>
        </is>
      </c>
      <c r="F128" t="inlineStr">
        <is>
          <t>Soporte</t>
        </is>
      </c>
      <c r="G128" t="inlineStr">
        <is>
          <t>Legal</t>
        </is>
      </c>
      <c r="H128" t="inlineStr">
        <is>
          <t>Archivado</t>
        </is>
      </c>
      <c r="I128" t="inlineStr">
        <is>
          <t>Interno</t>
        </is>
      </c>
      <c r="J128" t="inlineStr">
        <is>
          <t>Media</t>
        </is>
      </c>
      <c r="K128" t="inlineStr">
        <is>
          <t>El presente documento corresponde a un solicitud emitido por Osinergmin, relacionado con obligaciones contractuales, cláusulas de servicio y cumplimiento normativo. El área responsable es Soporte.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8" t="inlineStr">
        <is>
          <t>Solicitud de Osinergmin asociado a obligaciones contractuales y gestionado por Soporte.</t>
        </is>
      </c>
      <c r="M128" t="inlineStr">
        <is>
          <t>Legal, Solicitud, obligaciones contractuales, cláusulas de servicio, cumplimiento normativo</t>
        </is>
      </c>
      <c r="N128" t="inlineStr">
        <is>
          <t>¿Qué indica el documento DOC-0127 sobre obligaciones contractuales?</t>
        </is>
      </c>
      <c r="O128" t="inlineStr">
        <is>
          <t>El documento DOC-0127 indica que se debe revisar obligaciones contractuales, validar antecedentes y coordinar acciones con el área Soporte.</t>
        </is>
      </c>
      <c r="P128" t="inlineStr">
        <is>
          <t>DOC-0127_Solicitud.pdf</t>
        </is>
      </c>
      <c r="Q128" t="inlineStr">
        <is>
          <t>Registro sintético para entrenamiento inicial del agente documental.</t>
        </is>
      </c>
    </row>
    <row r="129">
      <c r="A129" t="inlineStr">
        <is>
          <t>DOC-0128</t>
        </is>
      </c>
      <c r="B129" t="inlineStr">
        <is>
          <t>Solicitud</t>
        </is>
      </c>
      <c r="C129" t="inlineStr">
        <is>
          <t>Solicitud sobre incidencias - UTP</t>
        </is>
      </c>
      <c r="D129" s="7" t="n">
        <v>46169</v>
      </c>
      <c r="E129" t="inlineStr">
        <is>
          <t>UTP</t>
        </is>
      </c>
      <c r="F129" t="inlineStr">
        <is>
          <t>Gestión Documental</t>
        </is>
      </c>
      <c r="G129" t="inlineStr">
        <is>
          <t>Operaciones</t>
        </is>
      </c>
      <c r="H129" t="inlineStr">
        <is>
          <t>En revisión</t>
        </is>
      </c>
      <c r="I129" t="inlineStr">
        <is>
          <t>Confidencial</t>
        </is>
      </c>
      <c r="J129" t="inlineStr">
        <is>
          <t>Baja</t>
        </is>
      </c>
      <c r="K129" t="inlineStr">
        <is>
          <t>El presente documento corresponde a un solicitud emitido por UTP, relacionado con incidencias, priorización y atención de solicitudes. El área responsable es Gestión Documental.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29" t="inlineStr">
        <is>
          <t>Solicitud de UTP asociado a incidencias y gestionado por Gestión Documental.</t>
        </is>
      </c>
      <c r="M129" t="inlineStr">
        <is>
          <t>Operaciones, Solicitud, incidencias, priorización, atención de solicitudes</t>
        </is>
      </c>
      <c r="N129" t="inlineStr">
        <is>
          <t>¿Qué indica el documento DOC-0128 sobre incidencias?</t>
        </is>
      </c>
      <c r="O129" t="inlineStr">
        <is>
          <t>El documento DOC-0128 indica que se debe revisar incidencias, validar antecedentes y coordinar acciones con el área Gestión Documental.</t>
        </is>
      </c>
      <c r="P129" t="inlineStr">
        <is>
          <t>DOC-0128_Solicitud.pdf</t>
        </is>
      </c>
      <c r="Q129" t="inlineStr">
        <is>
          <t>Registro sintético para entrenamiento inicial del agente documental.</t>
        </is>
      </c>
    </row>
    <row r="130">
      <c r="A130" t="inlineStr">
        <is>
          <t>DOC-0129</t>
        </is>
      </c>
      <c r="B130" t="inlineStr">
        <is>
          <t>Memorando</t>
        </is>
      </c>
      <c r="C130" t="inlineStr">
        <is>
          <t>Memorando sobre condiciones de pago - COES</t>
        </is>
      </c>
      <c r="D130" s="7" t="n">
        <v>46048</v>
      </c>
      <c r="E130" t="inlineStr">
        <is>
          <t>COES</t>
        </is>
      </c>
      <c r="F130" t="inlineStr">
        <is>
          <t>Comercial</t>
        </is>
      </c>
      <c r="G130" t="inlineStr">
        <is>
          <t>Comercial</t>
        </is>
      </c>
      <c r="H130" t="inlineStr">
        <is>
          <t>Observado</t>
        </is>
      </c>
      <c r="I130" t="inlineStr">
        <is>
          <t>Interno</t>
        </is>
      </c>
      <c r="J130" t="inlineStr">
        <is>
          <t>Baja</t>
        </is>
      </c>
      <c r="K130" t="inlineStr">
        <is>
          <t>El presente documento corresponde a un memorando emitido por COES, relacionado con condiciones de pago, alcance comercial y propuesta económica. El área responsable es Comercial.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0" t="inlineStr">
        <is>
          <t>Memorando de COES asociado a condiciones de pago y gestionado por Comercial.</t>
        </is>
      </c>
      <c r="M130" t="inlineStr">
        <is>
          <t>Comercial, Memorando, condiciones de pago, alcance comercial, propuesta económica</t>
        </is>
      </c>
      <c r="N130" t="inlineStr">
        <is>
          <t>¿Qué indica el documento DOC-0129 sobre condiciones de pago?</t>
        </is>
      </c>
      <c r="O130" t="inlineStr">
        <is>
          <t>El documento DOC-0129 indica que se debe revisar condiciones de pago, validar antecedentes y coordinar acciones con el área Comercial.</t>
        </is>
      </c>
      <c r="P130" t="inlineStr">
        <is>
          <t>DOC-0129_Memorando.pdf</t>
        </is>
      </c>
      <c r="Q130" t="inlineStr">
        <is>
          <t>Registro sintético para entrenamiento inicial del agente documental.</t>
        </is>
      </c>
    </row>
    <row r="131">
      <c r="A131" t="inlineStr">
        <is>
          <t>DOC-0130</t>
        </is>
      </c>
      <c r="B131" t="inlineStr">
        <is>
          <t>Solicitud</t>
        </is>
      </c>
      <c r="C131" t="inlineStr">
        <is>
          <t>Solicitud sobre base de datos - BTG</t>
        </is>
      </c>
      <c r="D131" s="7" t="n">
        <v>45976</v>
      </c>
      <c r="E131" t="inlineStr">
        <is>
          <t>BTG</t>
        </is>
      </c>
      <c r="F131" t="inlineStr">
        <is>
          <t>Administración</t>
        </is>
      </c>
      <c r="G131" t="inlineStr">
        <is>
          <t>Técnico</t>
        </is>
      </c>
      <c r="H131" t="inlineStr">
        <is>
          <t>Archivado</t>
        </is>
      </c>
      <c r="I131" t="inlineStr">
        <is>
          <t>Confidencial</t>
        </is>
      </c>
      <c r="J131" t="inlineStr">
        <is>
          <t>Alta</t>
        </is>
      </c>
      <c r="K131" t="inlineStr">
        <is>
          <t>El presente documento corresponde a un solicitud emitido por BTG, relacionado con base de datos, seguridad y arquitectura tecnológica. El área responsable es Administración.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1" t="inlineStr">
        <is>
          <t>Solicitud de BTG asociado a base de datos y gestionado por Administración.</t>
        </is>
      </c>
      <c r="M131" t="inlineStr">
        <is>
          <t>Técnico, Solicitud, base de datos, seguridad, arquitectura tecnológica</t>
        </is>
      </c>
      <c r="N131" t="inlineStr">
        <is>
          <t>¿Qué indica el documento DOC-0130 sobre base de datos?</t>
        </is>
      </c>
      <c r="O131" t="inlineStr">
        <is>
          <t>El documento DOC-0130 indica que se debe revisar base de datos, validar antecedentes y coordinar acciones con el área Administración.</t>
        </is>
      </c>
      <c r="P131" t="inlineStr">
        <is>
          <t>DOC-0130_Solicitud.pdf</t>
        </is>
      </c>
      <c r="Q131" t="inlineStr">
        <is>
          <t>Registro sintético para entrenamiento inicial del agente documental.</t>
        </is>
      </c>
    </row>
    <row r="132">
      <c r="A132" t="inlineStr">
        <is>
          <t>DOC-0131</t>
        </is>
      </c>
      <c r="B132" t="inlineStr">
        <is>
          <t>Carta</t>
        </is>
      </c>
      <c r="C132" t="inlineStr">
        <is>
          <t>Carta sobre expediente digital - COES</t>
        </is>
      </c>
      <c r="D132" s="7" t="n">
        <v>45866</v>
      </c>
      <c r="E132" t="inlineStr">
        <is>
          <t>COES</t>
        </is>
      </c>
      <c r="F132" t="inlineStr">
        <is>
          <t>Comercial</t>
        </is>
      </c>
      <c r="G132" t="inlineStr">
        <is>
          <t>Gestión Documental</t>
        </is>
      </c>
      <c r="H132" t="inlineStr">
        <is>
          <t>Observado</t>
        </is>
      </c>
      <c r="I132" t="inlineStr">
        <is>
          <t>Público</t>
        </is>
      </c>
      <c r="J132" t="inlineStr">
        <is>
          <t>Media</t>
        </is>
      </c>
      <c r="K132" t="inlineStr">
        <is>
          <t>El presente documento corresponde a un carta emitido por COES, relacionado con expediente digital, búsqueda semántica y metadatos. El área responsable es Comercial.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2" t="inlineStr">
        <is>
          <t>Carta de COES asociado a expediente digital y gestionado por Comercial.</t>
        </is>
      </c>
      <c r="M132" t="inlineStr">
        <is>
          <t>Gestión Documental, Carta, expediente digital, búsqueda semántica, metadatos</t>
        </is>
      </c>
      <c r="N132" t="inlineStr">
        <is>
          <t>¿Qué indica el documento DOC-0131 sobre expediente digital?</t>
        </is>
      </c>
      <c r="O132" t="inlineStr">
        <is>
          <t>El documento DOC-0131 indica que se debe revisar expediente digital, validar antecedentes y coordinar acciones con el área Comercial.</t>
        </is>
      </c>
      <c r="P132" t="inlineStr">
        <is>
          <t>DOC-0131_Carta.pdf</t>
        </is>
      </c>
      <c r="Q132" t="inlineStr">
        <is>
          <t>Registro sintético para entrenamiento inicial del agente documental.</t>
        </is>
      </c>
    </row>
    <row r="133">
      <c r="A133" t="inlineStr">
        <is>
          <t>DOC-0132</t>
        </is>
      </c>
      <c r="B133" t="inlineStr">
        <is>
          <t>Contrato</t>
        </is>
      </c>
      <c r="C133" t="inlineStr">
        <is>
          <t>Contrato sobre propuesta económica - Sunass</t>
        </is>
      </c>
      <c r="D133" s="7" t="n">
        <v>45883</v>
      </c>
      <c r="E133" t="inlineStr">
        <is>
          <t>Sunass</t>
        </is>
      </c>
      <c r="F133" t="inlineStr">
        <is>
          <t>QA</t>
        </is>
      </c>
      <c r="G133" t="inlineStr">
        <is>
          <t>Comercial</t>
        </is>
      </c>
      <c r="H133" t="inlineStr">
        <is>
          <t>En revisión</t>
        </is>
      </c>
      <c r="I133" t="inlineStr">
        <is>
          <t>Interno</t>
        </is>
      </c>
      <c r="J133" t="inlineStr">
        <is>
          <t>Alta</t>
        </is>
      </c>
      <c r="K133" t="inlineStr">
        <is>
          <t>El presente documento corresponde a un contrato emitido por Sunass, relacionado con propuesta económica, servicio contratado y condiciones de pago. El área responsable es QA.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3" t="inlineStr">
        <is>
          <t>Contrato de Sunass asociado a propuesta económica y gestionado por QA.</t>
        </is>
      </c>
      <c r="M133" t="inlineStr">
        <is>
          <t>Comercial, Contrato, propuesta económica, servicio contratado, condiciones de pago</t>
        </is>
      </c>
      <c r="N133" t="inlineStr">
        <is>
          <t>¿Qué indica el documento DOC-0132 sobre propuesta económica?</t>
        </is>
      </c>
      <c r="O133" t="inlineStr">
        <is>
          <t>El documento DOC-0132 indica que se debe revisar propuesta económica, validar antecedentes y coordinar acciones con el área QA.</t>
        </is>
      </c>
      <c r="P133" t="inlineStr">
        <is>
          <t>DOC-0132_Contrato.pdf</t>
        </is>
      </c>
      <c r="Q133" t="inlineStr">
        <is>
          <t>Registro sintético para entrenamiento inicial del agente documental.</t>
        </is>
      </c>
    </row>
    <row r="134">
      <c r="A134" t="inlineStr">
        <is>
          <t>DOC-0133</t>
        </is>
      </c>
      <c r="B134" t="inlineStr">
        <is>
          <t>Reclamo</t>
        </is>
      </c>
      <c r="C134" t="inlineStr">
        <is>
          <t>Reclamo sobre mesa de ayuda - Luz del Sur</t>
        </is>
      </c>
      <c r="D134" s="7" t="n">
        <v>45959</v>
      </c>
      <c r="E134" t="inlineStr">
        <is>
          <t>Luz del Sur</t>
        </is>
      </c>
      <c r="F134" t="inlineStr">
        <is>
          <t>Gestión Documental</t>
        </is>
      </c>
      <c r="G134" t="inlineStr">
        <is>
          <t>Soporte</t>
        </is>
      </c>
      <c r="H134" t="inlineStr">
        <is>
          <t>En revisión</t>
        </is>
      </c>
      <c r="I134" t="inlineStr">
        <is>
          <t>Confidencial</t>
        </is>
      </c>
      <c r="J134" t="inlineStr">
        <is>
          <t>Media</t>
        </is>
      </c>
      <c r="K134" t="inlineStr">
        <is>
          <t>El presente documento corresponde a un reclamo emitido por Luz del Sur, relacionado con mesa de ayuda, tiempo de atención y cierre de ticket. El área responsable es Gestión Documental.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4" t="inlineStr">
        <is>
          <t>Reclamo de Luz del Sur asociado a mesa de ayuda y gestionado por Gestión Documental.</t>
        </is>
      </c>
      <c r="M134" t="inlineStr">
        <is>
          <t>Soporte, Reclamo, mesa de ayuda, tiempo de atención, cierre de ticket</t>
        </is>
      </c>
      <c r="N134" t="inlineStr">
        <is>
          <t>¿Qué indica el documento DOC-0133 sobre mesa de ayuda?</t>
        </is>
      </c>
      <c r="O134" t="inlineStr">
        <is>
          <t>El documento DOC-0133 indica que se debe revisar mesa de ayuda, validar antecedentes y coordinar acciones con el área Gestión Documental.</t>
        </is>
      </c>
      <c r="P134" t="inlineStr">
        <is>
          <t>DOC-0133_Reclamo.pdf</t>
        </is>
      </c>
      <c r="Q134" t="inlineStr">
        <is>
          <t>Registro sintético para entrenamiento inicial del agente documental.</t>
        </is>
      </c>
    </row>
    <row r="135">
      <c r="A135" t="inlineStr">
        <is>
          <t>DOC-0134</t>
        </is>
      </c>
      <c r="B135" t="inlineStr">
        <is>
          <t>Memorando</t>
        </is>
      </c>
      <c r="C135" t="inlineStr">
        <is>
          <t>Memorando sobre orden de compra - Caja Cusco</t>
        </is>
      </c>
      <c r="D135" s="7" t="n">
        <v>45682</v>
      </c>
      <c r="E135" t="inlineStr">
        <is>
          <t>Caja Cusco</t>
        </is>
      </c>
      <c r="F135" t="inlineStr">
        <is>
          <t>Administración</t>
        </is>
      </c>
      <c r="G135" t="inlineStr">
        <is>
          <t>Financiero</t>
        </is>
      </c>
      <c r="H135" t="inlineStr">
        <is>
          <t>Archivado</t>
        </is>
      </c>
      <c r="I135" t="inlineStr">
        <is>
          <t>Interno</t>
        </is>
      </c>
      <c r="J135" t="inlineStr">
        <is>
          <t>Baja</t>
        </is>
      </c>
      <c r="K135" t="inlineStr">
        <is>
          <t>El presente documento corresponde a un memorando emitido por Caja Cusco, relacionado con orden de compra, cronograma de pagos y facturación. El área responsable es Administración.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5" t="inlineStr">
        <is>
          <t>Memorando de Caja Cusco asociado a orden de compra y gestionado por Administración.</t>
        </is>
      </c>
      <c r="M135" t="inlineStr">
        <is>
          <t>Financiero, Memorando, orden de compra, cronograma de pagos, facturación</t>
        </is>
      </c>
      <c r="N135" t="inlineStr">
        <is>
          <t>¿Qué indica el documento DOC-0134 sobre orden de compra?</t>
        </is>
      </c>
      <c r="O135" t="inlineStr">
        <is>
          <t>El documento DOC-0134 indica que se debe revisar orden de compra, validar antecedentes y coordinar acciones con el área Administración.</t>
        </is>
      </c>
      <c r="P135" t="inlineStr">
        <is>
          <t>DOC-0134_Memorando.pdf</t>
        </is>
      </c>
      <c r="Q135" t="inlineStr">
        <is>
          <t>Registro sintético para entrenamiento inicial del agente documental.</t>
        </is>
      </c>
    </row>
    <row r="136">
      <c r="A136" t="inlineStr">
        <is>
          <t>DOC-0135</t>
        </is>
      </c>
      <c r="B136" t="inlineStr">
        <is>
          <t>Carta</t>
        </is>
      </c>
      <c r="C136" t="inlineStr">
        <is>
          <t>Carta sobre incidente reportado - BTG</t>
        </is>
      </c>
      <c r="D136" s="7" t="n">
        <v>46036</v>
      </c>
      <c r="E136" t="inlineStr">
        <is>
          <t>BTG</t>
        </is>
      </c>
      <c r="F136" t="inlineStr">
        <is>
          <t>Gestión Documental</t>
        </is>
      </c>
      <c r="G136" t="inlineStr">
        <is>
          <t>Soporte</t>
        </is>
      </c>
      <c r="H136" t="inlineStr">
        <is>
          <t>Archivado</t>
        </is>
      </c>
      <c r="I136" t="inlineStr">
        <is>
          <t>Confidencial</t>
        </is>
      </c>
      <c r="J136" t="inlineStr">
        <is>
          <t>Baja</t>
        </is>
      </c>
      <c r="K136" t="inlineStr">
        <is>
          <t>El presente documento corresponde a un carta emitido por BTG, relacionado con incidente reportado, cierre de ticket y escalamiento.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6" t="inlineStr">
        <is>
          <t>Carta de BTG asociado a incidente reportado y gestionado por Gestión Documental.</t>
        </is>
      </c>
      <c r="M136" t="inlineStr">
        <is>
          <t>Soporte, Carta, incidente reportado, cierre de ticket, escalamiento</t>
        </is>
      </c>
      <c r="N136" t="inlineStr">
        <is>
          <t>¿Qué indica el documento DOC-0135 sobre incidente reportado?</t>
        </is>
      </c>
      <c r="O136" t="inlineStr">
        <is>
          <t>El documento DOC-0135 indica que se debe revisar incidente reportado, validar antecedentes y coordinar acciones con el área Gestión Documental.</t>
        </is>
      </c>
      <c r="P136" t="inlineStr">
        <is>
          <t>DOC-0135_Carta.pdf</t>
        </is>
      </c>
      <c r="Q136" t="inlineStr">
        <is>
          <t>Registro sintético para entrenamiento inicial del agente documental.</t>
        </is>
      </c>
    </row>
    <row r="137">
      <c r="A137" t="inlineStr">
        <is>
          <t>DOC-0136</t>
        </is>
      </c>
      <c r="B137" t="inlineStr">
        <is>
          <t>Expediente</t>
        </is>
      </c>
      <c r="C137" t="inlineStr">
        <is>
          <t>Expediente sobre alcance comercial - Grupo Gloria</t>
        </is>
      </c>
      <c r="D137" s="7" t="n">
        <v>45925</v>
      </c>
      <c r="E137" t="inlineStr">
        <is>
          <t>Grupo Gloria</t>
        </is>
      </c>
      <c r="F137" t="inlineStr">
        <is>
          <t>TI</t>
        </is>
      </c>
      <c r="G137" t="inlineStr">
        <is>
          <t>Comercial</t>
        </is>
      </c>
      <c r="H137" t="inlineStr">
        <is>
          <t>Archivado</t>
        </is>
      </c>
      <c r="I137" t="inlineStr">
        <is>
          <t>Interno</t>
        </is>
      </c>
      <c r="J137" t="inlineStr">
        <is>
          <t>Alta</t>
        </is>
      </c>
      <c r="K137" t="inlineStr">
        <is>
          <t>El presente documento corresponde a un expediente emitido por Grupo Gloria, relacionado con alcance comercial, renovación y condiciones de pago. El área responsable es TI.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7" t="inlineStr">
        <is>
          <t>Expediente de Grupo Gloria asociado a alcance comercial y gestionado por TI.</t>
        </is>
      </c>
      <c r="M137" t="inlineStr">
        <is>
          <t>Comercial, Expediente, alcance comercial, renovación, condiciones de pago</t>
        </is>
      </c>
      <c r="N137" t="inlineStr">
        <is>
          <t>¿Qué indica el documento DOC-0136 sobre alcance comercial?</t>
        </is>
      </c>
      <c r="O137" t="inlineStr">
        <is>
          <t>El documento DOC-0136 indica que se debe revisar alcance comercial, validar antecedentes y coordinar acciones con el área TI.</t>
        </is>
      </c>
      <c r="P137" t="inlineStr">
        <is>
          <t>DOC-0136_Expediente.pdf</t>
        </is>
      </c>
      <c r="Q137" t="inlineStr">
        <is>
          <t>Registro sintético para entrenamiento inicial del agente documental.</t>
        </is>
      </c>
    </row>
    <row r="138">
      <c r="A138" t="inlineStr">
        <is>
          <t>DOC-0137</t>
        </is>
      </c>
      <c r="B138" t="inlineStr">
        <is>
          <t>Carta</t>
        </is>
      </c>
      <c r="C138" t="inlineStr">
        <is>
          <t>Carta sobre mesa de ayuda - Osinergmin</t>
        </is>
      </c>
      <c r="D138" s="7" t="n">
        <v>45998</v>
      </c>
      <c r="E138" t="inlineStr">
        <is>
          <t>Osinergmin</t>
        </is>
      </c>
      <c r="F138" t="inlineStr">
        <is>
          <t>TI</t>
        </is>
      </c>
      <c r="G138" t="inlineStr">
        <is>
          <t>Soporte</t>
        </is>
      </c>
      <c r="H138" t="inlineStr">
        <is>
          <t>Archivado</t>
        </is>
      </c>
      <c r="I138" t="inlineStr">
        <is>
          <t>Confidencial</t>
        </is>
      </c>
      <c r="J138" t="inlineStr">
        <is>
          <t>Alta</t>
        </is>
      </c>
      <c r="K138" t="inlineStr">
        <is>
          <t>El presente documento corresponde a un carta emitido por Osinergmin, relacionado con mesa de ayuda, incidente reportado y tiempo de atención. El área responsable es TI.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8" t="inlineStr">
        <is>
          <t>Carta de Osinergmin asociado a mesa de ayuda y gestionado por TI.</t>
        </is>
      </c>
      <c r="M138" t="inlineStr">
        <is>
          <t>Soporte, Carta, mesa de ayuda, incidente reportado, tiempo de atención</t>
        </is>
      </c>
      <c r="N138" t="inlineStr">
        <is>
          <t>¿Qué indica el documento DOC-0137 sobre mesa de ayuda?</t>
        </is>
      </c>
      <c r="O138" t="inlineStr">
        <is>
          <t>El documento DOC-0137 indica que se debe revisar mesa de ayuda, validar antecedentes y coordinar acciones con el área TI.</t>
        </is>
      </c>
      <c r="P138" t="inlineStr">
        <is>
          <t>DOC-0137_Carta.pdf</t>
        </is>
      </c>
      <c r="Q138" t="inlineStr">
        <is>
          <t>Registro sintético para entrenamiento inicial del agente documental.</t>
        </is>
      </c>
    </row>
    <row r="139">
      <c r="A139" t="inlineStr">
        <is>
          <t>DOC-0138</t>
        </is>
      </c>
      <c r="B139" t="inlineStr">
        <is>
          <t>Reclamo</t>
        </is>
      </c>
      <c r="C139" t="inlineStr">
        <is>
          <t>Reclamo sobre tiempo de atención - COES</t>
        </is>
      </c>
      <c r="D139" s="7" t="n">
        <v>46138</v>
      </c>
      <c r="E139" t="inlineStr">
        <is>
          <t>COES</t>
        </is>
      </c>
      <c r="F139" t="inlineStr">
        <is>
          <t>QA</t>
        </is>
      </c>
      <c r="G139" t="inlineStr">
        <is>
          <t>Soporte</t>
        </is>
      </c>
      <c r="H139" t="inlineStr">
        <is>
          <t>Observado</t>
        </is>
      </c>
      <c r="I139" t="inlineStr">
        <is>
          <t>Público</t>
        </is>
      </c>
      <c r="J139" t="inlineStr">
        <is>
          <t>Crítica</t>
        </is>
      </c>
      <c r="K139" t="inlineStr">
        <is>
          <t>El presente documento corresponde a un reclamo emitido por COES, relacionado con tiempo de atención, escalamiento y incidente reportado. El área responsable es QA.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39" t="inlineStr">
        <is>
          <t>Reclamo de COES asociado a tiempo de atención y gestionado por QA.</t>
        </is>
      </c>
      <c r="M139" t="inlineStr">
        <is>
          <t>Soporte, Reclamo, tiempo de atención, escalamiento, incidente reportado</t>
        </is>
      </c>
      <c r="N139" t="inlineStr">
        <is>
          <t>¿Qué indica el documento DOC-0138 sobre tiempo de atención?</t>
        </is>
      </c>
      <c r="O139" t="inlineStr">
        <is>
          <t>El documento DOC-0138 indica que se debe revisar tiempo de atención, validar antecedentes y coordinar acciones con el área QA.</t>
        </is>
      </c>
      <c r="P139" t="inlineStr">
        <is>
          <t>DOC-0138_Reclamo.pdf</t>
        </is>
      </c>
      <c r="Q139" t="inlineStr">
        <is>
          <t>Registro sintético para entrenamiento inicial del agente documental.</t>
        </is>
      </c>
    </row>
    <row r="140">
      <c r="A140" t="inlineStr">
        <is>
          <t>DOC-0139</t>
        </is>
      </c>
      <c r="B140" t="inlineStr">
        <is>
          <t>Resolución</t>
        </is>
      </c>
      <c r="C140" t="inlineStr">
        <is>
          <t>Resolución sobre arquitectura tecnológica - Cliente Privado</t>
        </is>
      </c>
      <c r="D140" s="7" t="n">
        <v>45811</v>
      </c>
      <c r="E140" t="inlineStr">
        <is>
          <t>Cliente Privado</t>
        </is>
      </c>
      <c r="F140" t="inlineStr">
        <is>
          <t>Operaciones</t>
        </is>
      </c>
      <c r="G140" t="inlineStr">
        <is>
          <t>Técnico</t>
        </is>
      </c>
      <c r="H140" t="inlineStr">
        <is>
          <t>Observado</t>
        </is>
      </c>
      <c r="I140" t="inlineStr">
        <is>
          <t>Confidencial</t>
        </is>
      </c>
      <c r="J140" t="inlineStr">
        <is>
          <t>Media</t>
        </is>
      </c>
      <c r="K140" t="inlineStr">
        <is>
          <t>El presente documento corresponde a un resolución emitido por Cliente Privado, relacionado con arquitectura tecnológica, disponibilidad y base de datos. El área responsable es Operaciones.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0" t="inlineStr">
        <is>
          <t>Resolución de Cliente Privado asociado a arquitectura tecnológica y gestionado por Operaciones.</t>
        </is>
      </c>
      <c r="M140" t="inlineStr">
        <is>
          <t>Técnico, Resolución, arquitectura tecnológica, disponibilidad, base de datos</t>
        </is>
      </c>
      <c r="N140" t="inlineStr">
        <is>
          <t>¿Qué indica el documento DOC-0139 sobre arquitectura tecnológica?</t>
        </is>
      </c>
      <c r="O140" t="inlineStr">
        <is>
          <t>El documento DOC-0139 indica que se debe revisar arquitectura tecnológica, validar antecedentes y coordinar acciones con el área Operaciones.</t>
        </is>
      </c>
      <c r="P140" t="inlineStr">
        <is>
          <t>DOC-0139_Resolución.pdf</t>
        </is>
      </c>
      <c r="Q140" t="inlineStr">
        <is>
          <t>Registro sintético para entrenamiento inicial del agente documental.</t>
        </is>
      </c>
    </row>
    <row r="141">
      <c r="A141" t="inlineStr">
        <is>
          <t>DOC-0140</t>
        </is>
      </c>
      <c r="B141" t="inlineStr">
        <is>
          <t>Oficio</t>
        </is>
      </c>
      <c r="C141" t="inlineStr">
        <is>
          <t>Oficio sobre monto - Ositran</t>
        </is>
      </c>
      <c r="D141" s="7" t="n">
        <v>45724</v>
      </c>
      <c r="E141" t="inlineStr">
        <is>
          <t>Ositran</t>
        </is>
      </c>
      <c r="F141" t="inlineStr">
        <is>
          <t>Soporte</t>
        </is>
      </c>
      <c r="G141" t="inlineStr">
        <is>
          <t>Financiero</t>
        </is>
      </c>
      <c r="H141" t="inlineStr">
        <is>
          <t>Archivado</t>
        </is>
      </c>
      <c r="I141" t="inlineStr">
        <is>
          <t>Interno</t>
        </is>
      </c>
      <c r="J141" t="inlineStr">
        <is>
          <t>Media</t>
        </is>
      </c>
      <c r="K141" t="inlineStr">
        <is>
          <t>El presente documento corresponde a un oficio emitido por Ositran, relacionado con monto, cronograma de pagos y validación contable. El área responsable es Soporte.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1" t="inlineStr">
        <is>
          <t>Oficio de Ositran asociado a monto y gestionado por Soporte.</t>
        </is>
      </c>
      <c r="M141" t="inlineStr">
        <is>
          <t>Financiero, Oficio, monto, cronograma de pagos, validación contable</t>
        </is>
      </c>
      <c r="N141" t="inlineStr">
        <is>
          <t>¿Qué indica el documento DOC-0140 sobre monto?</t>
        </is>
      </c>
      <c r="O141" t="inlineStr">
        <is>
          <t>El documento DOC-0140 indica que se debe revisar monto, validar antecedentes y coordinar acciones con el área Soporte.</t>
        </is>
      </c>
      <c r="P141" t="inlineStr">
        <is>
          <t>DOC-0140_Oficio.pdf</t>
        </is>
      </c>
      <c r="Q141" t="inlineStr">
        <is>
          <t>Registro sintético para entrenamiento inicial del agente documental.</t>
        </is>
      </c>
    </row>
    <row r="142">
      <c r="A142" t="inlineStr">
        <is>
          <t>DOC-0141</t>
        </is>
      </c>
      <c r="B142" t="inlineStr">
        <is>
          <t>Informe Técnico</t>
        </is>
      </c>
      <c r="C142" t="inlineStr">
        <is>
          <t>Informe Técnico sobre disponibilidad - APN</t>
        </is>
      </c>
      <c r="D142" s="7" t="n">
        <v>45723</v>
      </c>
      <c r="E142" t="inlineStr">
        <is>
          <t>APN</t>
        </is>
      </c>
      <c r="F142" t="inlineStr">
        <is>
          <t>QA</t>
        </is>
      </c>
      <c r="G142" t="inlineStr">
        <is>
          <t>Técnico</t>
        </is>
      </c>
      <c r="H142" t="inlineStr">
        <is>
          <t>En revisión</t>
        </is>
      </c>
      <c r="I142" t="inlineStr">
        <is>
          <t>Público</t>
        </is>
      </c>
      <c r="J142" t="inlineStr">
        <is>
          <t>Crítica</t>
        </is>
      </c>
      <c r="K142" t="inlineStr">
        <is>
          <t>El presente documento corresponde a un informe técnico emitido por APN, relacionado con disponibilidad, arquitectura tecnológica y base de datos. El área responsable es QA.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2" t="inlineStr">
        <is>
          <t>Informe Técnico de APN asociado a disponibilidad y gestionado por QA.</t>
        </is>
      </c>
      <c r="M142" t="inlineStr">
        <is>
          <t>Técnico, Informe Técnico, disponibilidad, arquitectura tecnológica, base de datos</t>
        </is>
      </c>
      <c r="N142" t="inlineStr">
        <is>
          <t>¿Qué indica el documento DOC-0141 sobre disponibilidad?</t>
        </is>
      </c>
      <c r="O142" t="inlineStr">
        <is>
          <t>El documento DOC-0141 indica que se debe revisar disponibilidad, validar antecedentes y coordinar acciones con el área QA.</t>
        </is>
      </c>
      <c r="P142" t="inlineStr">
        <is>
          <t>DOC-0141_Informe_Técnico.pdf</t>
        </is>
      </c>
      <c r="Q142" t="inlineStr">
        <is>
          <t>Registro sintético para entrenamiento inicial del agente documental.</t>
        </is>
      </c>
    </row>
    <row r="143">
      <c r="A143" t="inlineStr">
        <is>
          <t>DOC-0142</t>
        </is>
      </c>
      <c r="B143" t="inlineStr">
        <is>
          <t>Informe Técnico</t>
        </is>
      </c>
      <c r="C143" t="inlineStr">
        <is>
          <t>Informe Técnico sobre disponibilidad - Grupo Gloria</t>
        </is>
      </c>
      <c r="D143" s="7" t="n">
        <v>45946</v>
      </c>
      <c r="E143" t="inlineStr">
        <is>
          <t>Grupo Gloria</t>
        </is>
      </c>
      <c r="F143" t="inlineStr">
        <is>
          <t>Legal</t>
        </is>
      </c>
      <c r="G143" t="inlineStr">
        <is>
          <t>Técnico</t>
        </is>
      </c>
      <c r="H143" t="inlineStr">
        <is>
          <t>Archivado</t>
        </is>
      </c>
      <c r="I143" t="inlineStr">
        <is>
          <t>Público</t>
        </is>
      </c>
      <c r="J143" t="inlineStr">
        <is>
          <t>Baja</t>
        </is>
      </c>
      <c r="K143" t="inlineStr">
        <is>
          <t>El presente documento corresponde a un informe técnico emitido por Grupo Gloria, relacionado con disponibilidad, integración de sistemas y seguridad. El área responsable es Legal.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3" t="inlineStr">
        <is>
          <t>Informe Técnico de Grupo Gloria asociado a disponibilidad y gestionado por Legal.</t>
        </is>
      </c>
      <c r="M143" t="inlineStr">
        <is>
          <t>Técnico, Informe Técnico, disponibilidad, integración de sistemas, seguridad</t>
        </is>
      </c>
      <c r="N143" t="inlineStr">
        <is>
          <t>¿Qué indica el documento DOC-0142 sobre disponibilidad?</t>
        </is>
      </c>
      <c r="O143" t="inlineStr">
        <is>
          <t>El documento DOC-0142 indica que se debe revisar disponibilidad, validar antecedentes y coordinar acciones con el área Legal.</t>
        </is>
      </c>
      <c r="P143" t="inlineStr">
        <is>
          <t>DOC-0142_Informe_Técnico.pdf</t>
        </is>
      </c>
      <c r="Q143" t="inlineStr">
        <is>
          <t>Registro sintético para entrenamiento inicial del agente documental.</t>
        </is>
      </c>
    </row>
    <row r="144">
      <c r="A144" t="inlineStr">
        <is>
          <t>DOC-0143</t>
        </is>
      </c>
      <c r="B144" t="inlineStr">
        <is>
          <t>Contrato</t>
        </is>
      </c>
      <c r="C144" t="inlineStr">
        <is>
          <t>Contrato sobre seguridad - Osinergmin</t>
        </is>
      </c>
      <c r="D144" s="7" t="n">
        <v>45952</v>
      </c>
      <c r="E144" t="inlineStr">
        <is>
          <t>Osinergmin</t>
        </is>
      </c>
      <c r="F144" t="inlineStr">
        <is>
          <t>Soporte</t>
        </is>
      </c>
      <c r="G144" t="inlineStr">
        <is>
          <t>Técnico</t>
        </is>
      </c>
      <c r="H144" t="inlineStr">
        <is>
          <t>Vigente</t>
        </is>
      </c>
      <c r="I144" t="inlineStr">
        <is>
          <t>Público</t>
        </is>
      </c>
      <c r="J144" t="inlineStr">
        <is>
          <t>Alta</t>
        </is>
      </c>
      <c r="K144" t="inlineStr">
        <is>
          <t>El presente documento corresponde a un contrato emitido por Osinergmin, relacionado con seguridad, base de datos y disponibilidad. El área responsable es Soporte.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4" t="inlineStr">
        <is>
          <t>Contrato de Osinergmin asociado a seguridad y gestionado por Soporte.</t>
        </is>
      </c>
      <c r="M144" t="inlineStr">
        <is>
          <t>Técnico, Contrato, seguridad, base de datos, disponibilidad</t>
        </is>
      </c>
      <c r="N144" t="inlineStr">
        <is>
          <t>¿Qué indica el documento DOC-0143 sobre seguridad?</t>
        </is>
      </c>
      <c r="O144" t="inlineStr">
        <is>
          <t>El documento DOC-0143 indica que se debe revisar seguridad, validar antecedentes y coordinar acciones con el área Soporte.</t>
        </is>
      </c>
      <c r="P144" t="inlineStr">
        <is>
          <t>DOC-0143_Contrato.pdf</t>
        </is>
      </c>
      <c r="Q144" t="inlineStr">
        <is>
          <t>Registro sintético para entrenamiento inicial del agente documental.</t>
        </is>
      </c>
    </row>
    <row r="145">
      <c r="A145" t="inlineStr">
        <is>
          <t>DOC-0144</t>
        </is>
      </c>
      <c r="B145" t="inlineStr">
        <is>
          <t>Resolución</t>
        </is>
      </c>
      <c r="C145" t="inlineStr">
        <is>
          <t>Resolución sobre cláusulas de servicio - COES</t>
        </is>
      </c>
      <c r="D145" s="7" t="n">
        <v>45827</v>
      </c>
      <c r="E145" t="inlineStr">
        <is>
          <t>COES</t>
        </is>
      </c>
      <c r="F145" t="inlineStr">
        <is>
          <t>QA</t>
        </is>
      </c>
      <c r="G145" t="inlineStr">
        <is>
          <t>Legal</t>
        </is>
      </c>
      <c r="H145" t="inlineStr">
        <is>
          <t>Archivado</t>
        </is>
      </c>
      <c r="I145" t="inlineStr">
        <is>
          <t>Público</t>
        </is>
      </c>
      <c r="J145" t="inlineStr">
        <is>
          <t>Alta</t>
        </is>
      </c>
      <c r="K145" t="inlineStr">
        <is>
          <t>El presente documento corresponde a un resolución emitido por COES, relacionado con cláusulas de servicio, vigencia contractual y penalidades.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5" t="inlineStr">
        <is>
          <t>Resolución de COES asociado a cláusulas de servicio y gestionado por QA.</t>
        </is>
      </c>
      <c r="M145" t="inlineStr">
        <is>
          <t>Legal, Resolución, cláusulas de servicio, vigencia contractual, penalidades</t>
        </is>
      </c>
      <c r="N145" t="inlineStr">
        <is>
          <t>¿Qué indica el documento DOC-0144 sobre cláusulas de servicio?</t>
        </is>
      </c>
      <c r="O145" t="inlineStr">
        <is>
          <t>El documento DOC-0144 indica que se debe revisar cláusulas de servicio, validar antecedentes y coordinar acciones con el área QA.</t>
        </is>
      </c>
      <c r="P145" t="inlineStr">
        <is>
          <t>DOC-0144_Resolución.pdf</t>
        </is>
      </c>
      <c r="Q145" t="inlineStr">
        <is>
          <t>Registro sintético para entrenamiento inicial del agente documental.</t>
        </is>
      </c>
    </row>
    <row r="146">
      <c r="A146" t="inlineStr">
        <is>
          <t>DOC-0145</t>
        </is>
      </c>
      <c r="B146" t="inlineStr">
        <is>
          <t>Memorando</t>
        </is>
      </c>
      <c r="C146" t="inlineStr">
        <is>
          <t>Memorando sobre cronograma de pagos - Caja Cusco</t>
        </is>
      </c>
      <c r="D146" s="7" t="n">
        <v>46026</v>
      </c>
      <c r="E146" t="inlineStr">
        <is>
          <t>Caja Cusco</t>
        </is>
      </c>
      <c r="F146" t="inlineStr">
        <is>
          <t>Gestión Documental</t>
        </is>
      </c>
      <c r="G146" t="inlineStr">
        <is>
          <t>Financiero</t>
        </is>
      </c>
      <c r="H146" t="inlineStr">
        <is>
          <t>Archivado</t>
        </is>
      </c>
      <c r="I146" t="inlineStr">
        <is>
          <t>Público</t>
        </is>
      </c>
      <c r="J146" t="inlineStr">
        <is>
          <t>Alta</t>
        </is>
      </c>
      <c r="K146" t="inlineStr">
        <is>
          <t>El presente documento corresponde a un memorando emitido por Caja Cusco, relacionado con cronograma de pagos, orden de compra y validación contable.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6" t="inlineStr">
        <is>
          <t>Memorando de Caja Cusco asociado a cronograma de pagos y gestionado por Gestión Documental.</t>
        </is>
      </c>
      <c r="M146" t="inlineStr">
        <is>
          <t>Financiero, Memorando, cronograma de pagos, orden de compra, validación contable</t>
        </is>
      </c>
      <c r="N146" t="inlineStr">
        <is>
          <t>¿Qué indica el documento DOC-0145 sobre cronograma de pagos?</t>
        </is>
      </c>
      <c r="O146" t="inlineStr">
        <is>
          <t>El documento DOC-0145 indica que se debe revisar cronograma de pagos, validar antecedentes y coordinar acciones con el área Gestión Documental.</t>
        </is>
      </c>
      <c r="P146" t="inlineStr">
        <is>
          <t>DOC-0145_Memorando.pdf</t>
        </is>
      </c>
      <c r="Q146" t="inlineStr">
        <is>
          <t>Registro sintético para entrenamiento inicial del agente documental.</t>
        </is>
      </c>
    </row>
    <row r="147">
      <c r="A147" t="inlineStr">
        <is>
          <t>DOC-0146</t>
        </is>
      </c>
      <c r="B147" t="inlineStr">
        <is>
          <t>Reclamo</t>
        </is>
      </c>
      <c r="C147" t="inlineStr">
        <is>
          <t>Reclamo sobre derivación interna - Osinergmin</t>
        </is>
      </c>
      <c r="D147" s="7" t="n">
        <v>45793</v>
      </c>
      <c r="E147" t="inlineStr">
        <is>
          <t>Osinergmin</t>
        </is>
      </c>
      <c r="F147" t="inlineStr">
        <is>
          <t>Legal</t>
        </is>
      </c>
      <c r="G147" t="inlineStr">
        <is>
          <t>Administrativo</t>
        </is>
      </c>
      <c r="H147" t="inlineStr">
        <is>
          <t>Archivado</t>
        </is>
      </c>
      <c r="I147" t="inlineStr">
        <is>
          <t>Confidencial</t>
        </is>
      </c>
      <c r="J147" t="inlineStr">
        <is>
          <t>Media</t>
        </is>
      </c>
      <c r="K147" t="inlineStr">
        <is>
          <t>El presente documento corresponde a un reclamo emitido por Osinergmin, relacionado con derivación interna, archivo y aprobación. El área responsable es Legal.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7" t="inlineStr">
        <is>
          <t>Reclamo de Osinergmin asociado a derivación interna y gestionado por Legal.</t>
        </is>
      </c>
      <c r="M147" t="inlineStr">
        <is>
          <t>Administrativo, Reclamo, derivación interna, archivo, aprobación</t>
        </is>
      </c>
      <c r="N147" t="inlineStr">
        <is>
          <t>¿Qué indica el documento DOC-0146 sobre derivación interna?</t>
        </is>
      </c>
      <c r="O147" t="inlineStr">
        <is>
          <t>El documento DOC-0146 indica que se debe revisar derivación interna, validar antecedentes y coordinar acciones con el área Legal.</t>
        </is>
      </c>
      <c r="P147" t="inlineStr">
        <is>
          <t>DOC-0146_Reclamo.pdf</t>
        </is>
      </c>
      <c r="Q147" t="inlineStr">
        <is>
          <t>Registro sintético para entrenamiento inicial del agente documental.</t>
        </is>
      </c>
    </row>
    <row r="148">
      <c r="A148" t="inlineStr">
        <is>
          <t>DOC-0147</t>
        </is>
      </c>
      <c r="B148" t="inlineStr">
        <is>
          <t>Oficio</t>
        </is>
      </c>
      <c r="C148" t="inlineStr">
        <is>
          <t>Oficio sobre expediente digital - APN</t>
        </is>
      </c>
      <c r="D148" s="7" t="n">
        <v>45962</v>
      </c>
      <c r="E148" t="inlineStr">
        <is>
          <t>APN</t>
        </is>
      </c>
      <c r="F148" t="inlineStr">
        <is>
          <t>Gestión Documental</t>
        </is>
      </c>
      <c r="G148" t="inlineStr">
        <is>
          <t>Gestión Documental</t>
        </is>
      </c>
      <c r="H148" t="inlineStr">
        <is>
          <t>Vigente</t>
        </is>
      </c>
      <c r="I148" t="inlineStr">
        <is>
          <t>Confidencial</t>
        </is>
      </c>
      <c r="J148" t="inlineStr">
        <is>
          <t>Media</t>
        </is>
      </c>
      <c r="K148" t="inlineStr">
        <is>
          <t>El presente documento corresponde a un oficio emitido por APN, relacionado con expediente digital, búsqueda semántica y trazabilidad. El área responsable es Gestión Documental.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8" t="inlineStr">
        <is>
          <t>Oficio de APN asociado a expediente digital y gestionado por Gestión Documental.</t>
        </is>
      </c>
      <c r="M148" t="inlineStr">
        <is>
          <t>Gestión Documental, Oficio, expediente digital, búsqueda semántica, trazabilidad</t>
        </is>
      </c>
      <c r="N148" t="inlineStr">
        <is>
          <t>¿Qué indica el documento DOC-0147 sobre expediente digital?</t>
        </is>
      </c>
      <c r="O148" t="inlineStr">
        <is>
          <t>El documento DOC-0147 indica que se debe revisar expediente digital, validar antecedentes y coordinar acciones con el área Gestión Documental.</t>
        </is>
      </c>
      <c r="P148" t="inlineStr">
        <is>
          <t>DOC-0147_Oficio.pdf</t>
        </is>
      </c>
      <c r="Q148" t="inlineStr">
        <is>
          <t>Registro sintético para entrenamiento inicial del agente documental.</t>
        </is>
      </c>
    </row>
    <row r="149">
      <c r="A149" t="inlineStr">
        <is>
          <t>DOC-0148</t>
        </is>
      </c>
      <c r="B149" t="inlineStr">
        <is>
          <t>Expediente</t>
        </is>
      </c>
      <c r="C149" t="inlineStr">
        <is>
          <t>Expediente sobre cumplimiento normativo - UTP</t>
        </is>
      </c>
      <c r="D149" s="7" t="n">
        <v>45976</v>
      </c>
      <c r="E149" t="inlineStr">
        <is>
          <t>UTP</t>
        </is>
      </c>
      <c r="F149" t="inlineStr">
        <is>
          <t>Operaciones</t>
        </is>
      </c>
      <c r="G149" t="inlineStr">
        <is>
          <t>Legal</t>
        </is>
      </c>
      <c r="H149" t="inlineStr">
        <is>
          <t>Pendiente</t>
        </is>
      </c>
      <c r="I149" t="inlineStr">
        <is>
          <t>Interno</t>
        </is>
      </c>
      <c r="J149" t="inlineStr">
        <is>
          <t>Crítica</t>
        </is>
      </c>
      <c r="K149" t="inlineStr">
        <is>
          <t>El presente documento corresponde a un expediente emitido por UTP, relacionado con cumplimiento normativo, penalidades y vigencia contractual.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49" t="inlineStr">
        <is>
          <t>Expediente de UTP asociado a cumplimiento normativo y gestionado por Operaciones.</t>
        </is>
      </c>
      <c r="M149" t="inlineStr">
        <is>
          <t>Legal, Expediente, cumplimiento normativo, penalidades, vigencia contractual</t>
        </is>
      </c>
      <c r="N149" t="inlineStr">
        <is>
          <t>¿Qué indica el documento DOC-0148 sobre cumplimiento normativo?</t>
        </is>
      </c>
      <c r="O149" t="inlineStr">
        <is>
          <t>El documento DOC-0148 indica que se debe revisar cumplimiento normativo, validar antecedentes y coordinar acciones con el área Operaciones.</t>
        </is>
      </c>
      <c r="P149" t="inlineStr">
        <is>
          <t>DOC-0148_Expediente.pdf</t>
        </is>
      </c>
      <c r="Q149" t="inlineStr">
        <is>
          <t>Registro sintético para entrenamiento inicial del agente documental.</t>
        </is>
      </c>
    </row>
    <row r="150">
      <c r="A150" t="inlineStr">
        <is>
          <t>DOC-0149</t>
        </is>
      </c>
      <c r="B150" t="inlineStr">
        <is>
          <t>Resolución</t>
        </is>
      </c>
      <c r="C150" t="inlineStr">
        <is>
          <t>Resolución sobre priorización - BTG</t>
        </is>
      </c>
      <c r="D150" s="7" t="n">
        <v>46093</v>
      </c>
      <c r="E150" t="inlineStr">
        <is>
          <t>BTG</t>
        </is>
      </c>
      <c r="F150" t="inlineStr">
        <is>
          <t>TI</t>
        </is>
      </c>
      <c r="G150" t="inlineStr">
        <is>
          <t>Operaciones</t>
        </is>
      </c>
      <c r="H150" t="inlineStr">
        <is>
          <t>Vigente</t>
        </is>
      </c>
      <c r="I150" t="inlineStr">
        <is>
          <t>Público</t>
        </is>
      </c>
      <c r="J150" t="inlineStr">
        <is>
          <t>Baja</t>
        </is>
      </c>
      <c r="K150" t="inlineStr">
        <is>
          <t>El presente documento corresponde a un resolución emitido por BTG, relacionado con priorización, atención de solicitudes y SLA. El área responsable es TI.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0" t="inlineStr">
        <is>
          <t>Resolución de BTG asociado a priorización y gestionado por TI.</t>
        </is>
      </c>
      <c r="M150" t="inlineStr">
        <is>
          <t>Operaciones, Resolución, priorización, atención de solicitudes, SLA</t>
        </is>
      </c>
      <c r="N150" t="inlineStr">
        <is>
          <t>¿Qué indica el documento DOC-0149 sobre priorización?</t>
        </is>
      </c>
      <c r="O150" t="inlineStr">
        <is>
          <t>El documento DOC-0149 indica que se debe revisar priorización, validar antecedentes y coordinar acciones con el área TI.</t>
        </is>
      </c>
      <c r="P150" t="inlineStr">
        <is>
          <t>DOC-0149_Resolución.pdf</t>
        </is>
      </c>
      <c r="Q150" t="inlineStr">
        <is>
          <t>Registro sintético para entrenamiento inicial del agente documental.</t>
        </is>
      </c>
    </row>
    <row r="151">
      <c r="A151" t="inlineStr">
        <is>
          <t>DOC-0150</t>
        </is>
      </c>
      <c r="B151" t="inlineStr">
        <is>
          <t>Carta</t>
        </is>
      </c>
      <c r="C151" t="inlineStr">
        <is>
          <t>Carta sobre servicio contratado - UTP</t>
        </is>
      </c>
      <c r="D151" s="7" t="n">
        <v>45909</v>
      </c>
      <c r="E151" t="inlineStr">
        <is>
          <t>UTP</t>
        </is>
      </c>
      <c r="F151" t="inlineStr">
        <is>
          <t>QA</t>
        </is>
      </c>
      <c r="G151" t="inlineStr">
        <is>
          <t>Comercial</t>
        </is>
      </c>
      <c r="H151" t="inlineStr">
        <is>
          <t>Vigente</t>
        </is>
      </c>
      <c r="I151" t="inlineStr">
        <is>
          <t>Público</t>
        </is>
      </c>
      <c r="J151" t="inlineStr">
        <is>
          <t>Baja</t>
        </is>
      </c>
      <c r="K151" t="inlineStr">
        <is>
          <t>El presente documento corresponde a un carta emitido por UTP, relacionado con servicio contratado, renovación y propuesta económica. El área responsable es QA.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1" t="inlineStr">
        <is>
          <t>Carta de UTP asociado a servicio contratado y gestionado por QA.</t>
        </is>
      </c>
      <c r="M151" t="inlineStr">
        <is>
          <t>Comercial, Carta, servicio contratado, renovación, propuesta económica</t>
        </is>
      </c>
      <c r="N151" t="inlineStr">
        <is>
          <t>¿Qué indica el documento DOC-0150 sobre servicio contratado?</t>
        </is>
      </c>
      <c r="O151" t="inlineStr">
        <is>
          <t>El documento DOC-0150 indica que se debe revisar servicio contratado, validar antecedentes y coordinar acciones con el área QA.</t>
        </is>
      </c>
      <c r="P151" t="inlineStr">
        <is>
          <t>DOC-0150_Carta.pdf</t>
        </is>
      </c>
      <c r="Q151" t="inlineStr">
        <is>
          <t>Registro sintético para entrenamiento inicial del agente documental.</t>
        </is>
      </c>
    </row>
    <row r="152">
      <c r="A152" t="inlineStr">
        <is>
          <t>DOC-0151</t>
        </is>
      </c>
      <c r="B152" t="inlineStr">
        <is>
          <t>Oficio</t>
        </is>
      </c>
      <c r="C152" t="inlineStr">
        <is>
          <t>Oficio sobre SLA - Grupo Gloria</t>
        </is>
      </c>
      <c r="D152" s="7" t="n">
        <v>45949</v>
      </c>
      <c r="E152" t="inlineStr">
        <is>
          <t>Grupo Gloria</t>
        </is>
      </c>
      <c r="F152" t="inlineStr">
        <is>
          <t>QA</t>
        </is>
      </c>
      <c r="G152" t="inlineStr">
        <is>
          <t>Operaciones</t>
        </is>
      </c>
      <c r="H152" t="inlineStr">
        <is>
          <t>Archivado</t>
        </is>
      </c>
      <c r="I152" t="inlineStr">
        <is>
          <t>Interno</t>
        </is>
      </c>
      <c r="J152" t="inlineStr">
        <is>
          <t>Alta</t>
        </is>
      </c>
      <c r="K152" t="inlineStr">
        <is>
          <t>El presente documento corresponde a un oficio emitido por Grupo Gloria, relacionado con SLA, incidencias y gestión operativa.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2" t="inlineStr">
        <is>
          <t>Oficio de Grupo Gloria asociado a SLA y gestionado por QA.</t>
        </is>
      </c>
      <c r="M152" t="inlineStr">
        <is>
          <t>Operaciones, Oficio, SLA, incidencias, gestión operativa</t>
        </is>
      </c>
      <c r="N152" t="inlineStr">
        <is>
          <t>¿Qué indica el documento DOC-0151 sobre SLA?</t>
        </is>
      </c>
      <c r="O152" t="inlineStr">
        <is>
          <t>El documento DOC-0151 indica que se debe revisar SLA, validar antecedentes y coordinar acciones con el área QA.</t>
        </is>
      </c>
      <c r="P152" t="inlineStr">
        <is>
          <t>DOC-0151_Oficio.pdf</t>
        </is>
      </c>
      <c r="Q152" t="inlineStr">
        <is>
          <t>Registro sintético para entrenamiento inicial del agente documental.</t>
        </is>
      </c>
    </row>
    <row r="153">
      <c r="A153" t="inlineStr">
        <is>
          <t>DOC-0152</t>
        </is>
      </c>
      <c r="B153" t="inlineStr">
        <is>
          <t>Carta</t>
        </is>
      </c>
      <c r="C153" t="inlineStr">
        <is>
          <t>Carta sobre derivación interna - BTG</t>
        </is>
      </c>
      <c r="D153" s="7" t="n">
        <v>45762</v>
      </c>
      <c r="E153" t="inlineStr">
        <is>
          <t>BTG</t>
        </is>
      </c>
      <c r="F153" t="inlineStr">
        <is>
          <t>Legal</t>
        </is>
      </c>
      <c r="G153" t="inlineStr">
        <is>
          <t>Administrativo</t>
        </is>
      </c>
      <c r="H153" t="inlineStr">
        <is>
          <t>Vigente</t>
        </is>
      </c>
      <c r="I153" t="inlineStr">
        <is>
          <t>Confidencial</t>
        </is>
      </c>
      <c r="J153" t="inlineStr">
        <is>
          <t>Media</t>
        </is>
      </c>
      <c r="K153" t="inlineStr">
        <is>
          <t>El presente documento corresponde a un carta emitido por BTG, relacionado con derivación interna, aprobación y registro documentario. El área responsable es Legal.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3" t="inlineStr">
        <is>
          <t>Carta de BTG asociado a derivación interna y gestionado por Legal.</t>
        </is>
      </c>
      <c r="M153" t="inlineStr">
        <is>
          <t>Administrativo, Carta, derivación interna, aprobación, registro documentario</t>
        </is>
      </c>
      <c r="N153" t="inlineStr">
        <is>
          <t>¿Qué indica el documento DOC-0152 sobre derivación interna?</t>
        </is>
      </c>
      <c r="O153" t="inlineStr">
        <is>
          <t>El documento DOC-0152 indica que se debe revisar derivación interna, validar antecedentes y coordinar acciones con el área Legal.</t>
        </is>
      </c>
      <c r="P153" t="inlineStr">
        <is>
          <t>DOC-0152_Carta.pdf</t>
        </is>
      </c>
      <c r="Q153" t="inlineStr">
        <is>
          <t>Registro sintético para entrenamiento inicial del agente documental.</t>
        </is>
      </c>
    </row>
    <row r="154">
      <c r="A154" t="inlineStr">
        <is>
          <t>DOC-0153</t>
        </is>
      </c>
      <c r="B154" t="inlineStr">
        <is>
          <t>Solicitud</t>
        </is>
      </c>
      <c r="C154" t="inlineStr">
        <is>
          <t>Solicitud sobre arquitectura tecnológica - Grupo Gloria</t>
        </is>
      </c>
      <c r="D154" s="7" t="n">
        <v>45698</v>
      </c>
      <c r="E154" t="inlineStr">
        <is>
          <t>Grupo Gloria</t>
        </is>
      </c>
      <c r="F154" t="inlineStr">
        <is>
          <t>Legal</t>
        </is>
      </c>
      <c r="G154" t="inlineStr">
        <is>
          <t>Técnico</t>
        </is>
      </c>
      <c r="H154" t="inlineStr">
        <is>
          <t>En revisión</t>
        </is>
      </c>
      <c r="I154" t="inlineStr">
        <is>
          <t>Interno</t>
        </is>
      </c>
      <c r="J154" t="inlineStr">
        <is>
          <t>Media</t>
        </is>
      </c>
      <c r="K154" t="inlineStr">
        <is>
          <t>El presente documento corresponde a un solicitud emitido por Grupo Gloria, relacionado con arquitectura tecnológica, disponibilidad y base de datos. El área responsable es Legal.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4" t="inlineStr">
        <is>
          <t>Solicitud de Grupo Gloria asociado a arquitectura tecnológica y gestionado por Legal.</t>
        </is>
      </c>
      <c r="M154" t="inlineStr">
        <is>
          <t>Técnico, Solicitud, arquitectura tecnológica, disponibilidad, base de datos</t>
        </is>
      </c>
      <c r="N154" t="inlineStr">
        <is>
          <t>¿Qué indica el documento DOC-0153 sobre arquitectura tecnológica?</t>
        </is>
      </c>
      <c r="O154" t="inlineStr">
        <is>
          <t>El documento DOC-0153 indica que se debe revisar arquitectura tecnológica, validar antecedentes y coordinar acciones con el área Legal.</t>
        </is>
      </c>
      <c r="P154" t="inlineStr">
        <is>
          <t>DOC-0153_Solicitud.pdf</t>
        </is>
      </c>
      <c r="Q154" t="inlineStr">
        <is>
          <t>Registro sintético para entrenamiento inicial del agente documental.</t>
        </is>
      </c>
    </row>
    <row r="155">
      <c r="A155" t="inlineStr">
        <is>
          <t>DOC-0154</t>
        </is>
      </c>
      <c r="B155" t="inlineStr">
        <is>
          <t>Carta</t>
        </is>
      </c>
      <c r="C155" t="inlineStr">
        <is>
          <t>Carta sobre tiempo de atención - Luz del Sur</t>
        </is>
      </c>
      <c r="D155" s="7" t="n">
        <v>45908</v>
      </c>
      <c r="E155" t="inlineStr">
        <is>
          <t>Luz del Sur</t>
        </is>
      </c>
      <c r="F155" t="inlineStr">
        <is>
          <t>TI</t>
        </is>
      </c>
      <c r="G155" t="inlineStr">
        <is>
          <t>Soporte</t>
        </is>
      </c>
      <c r="H155" t="inlineStr">
        <is>
          <t>En revisión</t>
        </is>
      </c>
      <c r="I155" t="inlineStr">
        <is>
          <t>Público</t>
        </is>
      </c>
      <c r="J155" t="inlineStr">
        <is>
          <t>Baja</t>
        </is>
      </c>
      <c r="K155" t="inlineStr">
        <is>
          <t>El presente documento corresponde a un carta emitido por Luz del Sur, relacionado con tiempo de atención, cierre de ticket y escalamiento. El área responsable es TI.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5" t="inlineStr">
        <is>
          <t>Carta de Luz del Sur asociado a tiempo de atención y gestionado por TI.</t>
        </is>
      </c>
      <c r="M155" t="inlineStr">
        <is>
          <t>Soporte, Carta, tiempo de atención, cierre de ticket, escalamiento</t>
        </is>
      </c>
      <c r="N155" t="inlineStr">
        <is>
          <t>¿Qué indica el documento DOC-0154 sobre tiempo de atención?</t>
        </is>
      </c>
      <c r="O155" t="inlineStr">
        <is>
          <t>El documento DOC-0154 indica que se debe revisar tiempo de atención, validar antecedentes y coordinar acciones con el área TI.</t>
        </is>
      </c>
      <c r="P155" t="inlineStr">
        <is>
          <t>DOC-0154_Carta.pdf</t>
        </is>
      </c>
      <c r="Q155" t="inlineStr">
        <is>
          <t>Registro sintético para entrenamiento inicial del agente documental.</t>
        </is>
      </c>
    </row>
    <row r="156">
      <c r="A156" t="inlineStr">
        <is>
          <t>DOC-0155</t>
        </is>
      </c>
      <c r="B156" t="inlineStr">
        <is>
          <t>Reclamo</t>
        </is>
      </c>
      <c r="C156" t="inlineStr">
        <is>
          <t>Reclamo sobre monto - OEFA</t>
        </is>
      </c>
      <c r="D156" s="7" t="n">
        <v>45720</v>
      </c>
      <c r="E156" t="inlineStr">
        <is>
          <t>OEFA</t>
        </is>
      </c>
      <c r="F156" t="inlineStr">
        <is>
          <t>Comercial</t>
        </is>
      </c>
      <c r="G156" t="inlineStr">
        <is>
          <t>Financiero</t>
        </is>
      </c>
      <c r="H156" t="inlineStr">
        <is>
          <t>Observado</t>
        </is>
      </c>
      <c r="I156" t="inlineStr">
        <is>
          <t>Confidencial</t>
        </is>
      </c>
      <c r="J156" t="inlineStr">
        <is>
          <t>Baja</t>
        </is>
      </c>
      <c r="K156" t="inlineStr">
        <is>
          <t>El presente documento corresponde a un reclamo emitido por OEFA, relacionado con monto, facturación y orden de compra. El área responsable es Comercial.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6" t="inlineStr">
        <is>
          <t>Reclamo de OEFA asociado a monto y gestionado por Comercial.</t>
        </is>
      </c>
      <c r="M156" t="inlineStr">
        <is>
          <t>Financiero, Reclamo, monto, facturación, orden de compra</t>
        </is>
      </c>
      <c r="N156" t="inlineStr">
        <is>
          <t>¿Qué indica el documento DOC-0155 sobre monto?</t>
        </is>
      </c>
      <c r="O156" t="inlineStr">
        <is>
          <t>El documento DOC-0155 indica que se debe revisar monto, validar antecedentes y coordinar acciones con el área Comercial.</t>
        </is>
      </c>
      <c r="P156" t="inlineStr">
        <is>
          <t>DOC-0155_Reclamo.pdf</t>
        </is>
      </c>
      <c r="Q156" t="inlineStr">
        <is>
          <t>Registro sintético para entrenamiento inicial del agente documental.</t>
        </is>
      </c>
    </row>
    <row r="157">
      <c r="A157" t="inlineStr">
        <is>
          <t>DOC-0156</t>
        </is>
      </c>
      <c r="B157" t="inlineStr">
        <is>
          <t>Informe Técnico</t>
        </is>
      </c>
      <c r="C157" t="inlineStr">
        <is>
          <t>Informe Técnico sobre penalidades - Luz del Sur</t>
        </is>
      </c>
      <c r="D157" s="7" t="n">
        <v>46063</v>
      </c>
      <c r="E157" t="inlineStr">
        <is>
          <t>Luz del Sur</t>
        </is>
      </c>
      <c r="F157" t="inlineStr">
        <is>
          <t>Mesa de Partes</t>
        </is>
      </c>
      <c r="G157" t="inlineStr">
        <is>
          <t>Legal</t>
        </is>
      </c>
      <c r="H157" t="inlineStr">
        <is>
          <t>En revisión</t>
        </is>
      </c>
      <c r="I157" t="inlineStr">
        <is>
          <t>Confidencial</t>
        </is>
      </c>
      <c r="J157" t="inlineStr">
        <is>
          <t>Crítica</t>
        </is>
      </c>
      <c r="K157" t="inlineStr">
        <is>
          <t>El presente documento corresponde a un informe técnico emitido por Luz del Sur, relacionado con penalidades, vigencia contractual y cumplimiento normativo. El área responsable es Mesa de Partes.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7" t="inlineStr">
        <is>
          <t>Informe Técnico de Luz del Sur asociado a penalidades y gestionado por Mesa de Partes.</t>
        </is>
      </c>
      <c r="M157" t="inlineStr">
        <is>
          <t>Legal, Informe Técnico, penalidades, vigencia contractual, cumplimiento normativo</t>
        </is>
      </c>
      <c r="N157" t="inlineStr">
        <is>
          <t>¿Qué indica el documento DOC-0156 sobre penalidades?</t>
        </is>
      </c>
      <c r="O157" t="inlineStr">
        <is>
          <t>El documento DOC-0156 indica que se debe revisar penalidades, validar antecedentes y coordinar acciones con el área Mesa de Partes.</t>
        </is>
      </c>
      <c r="P157" t="inlineStr">
        <is>
          <t>DOC-0156_Informe_Técnico.pdf</t>
        </is>
      </c>
      <c r="Q157" t="inlineStr">
        <is>
          <t>Registro sintético para entrenamiento inicial del agente documental.</t>
        </is>
      </c>
    </row>
    <row r="158">
      <c r="A158" t="inlineStr">
        <is>
          <t>DOC-0157</t>
        </is>
      </c>
      <c r="B158" t="inlineStr">
        <is>
          <t>Acta</t>
        </is>
      </c>
      <c r="C158" t="inlineStr">
        <is>
          <t>Acta sobre obligaciones contractuales - COES</t>
        </is>
      </c>
      <c r="D158" s="7" t="n">
        <v>45883</v>
      </c>
      <c r="E158" t="inlineStr">
        <is>
          <t>COES</t>
        </is>
      </c>
      <c r="F158" t="inlineStr">
        <is>
          <t>Legal</t>
        </is>
      </c>
      <c r="G158" t="inlineStr">
        <is>
          <t>Legal</t>
        </is>
      </c>
      <c r="H158" t="inlineStr">
        <is>
          <t>Archivado</t>
        </is>
      </c>
      <c r="I158" t="inlineStr">
        <is>
          <t>Público</t>
        </is>
      </c>
      <c r="J158" t="inlineStr">
        <is>
          <t>Baja</t>
        </is>
      </c>
      <c r="K158" t="inlineStr">
        <is>
          <t>El presente documento corresponde a un acta emitido por COES, relacionado con obligaciones contractuales, penalidades y vigencia contractual. El área responsable es Legal.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8" t="inlineStr">
        <is>
          <t>Acta de COES asociado a obligaciones contractuales y gestionado por Legal.</t>
        </is>
      </c>
      <c r="M158" t="inlineStr">
        <is>
          <t>Legal, Acta, obligaciones contractuales, penalidades, vigencia contractual</t>
        </is>
      </c>
      <c r="N158" t="inlineStr">
        <is>
          <t>¿Qué indica el documento DOC-0157 sobre obligaciones contractuales?</t>
        </is>
      </c>
      <c r="O158" t="inlineStr">
        <is>
          <t>El documento DOC-0157 indica que se debe revisar obligaciones contractuales, validar antecedentes y coordinar acciones con el área Legal.</t>
        </is>
      </c>
      <c r="P158" t="inlineStr">
        <is>
          <t>DOC-0157_Acta.pdf</t>
        </is>
      </c>
      <c r="Q158" t="inlineStr">
        <is>
          <t>Registro sintético para entrenamiento inicial del agente documental.</t>
        </is>
      </c>
    </row>
    <row r="159">
      <c r="A159" t="inlineStr">
        <is>
          <t>DOC-0158</t>
        </is>
      </c>
      <c r="B159" t="inlineStr">
        <is>
          <t>Solicitud</t>
        </is>
      </c>
      <c r="C159" t="inlineStr">
        <is>
          <t>Solicitud sobre clasificación documental - OEFA</t>
        </is>
      </c>
      <c r="D159" s="7" t="n">
        <v>46160</v>
      </c>
      <c r="E159" t="inlineStr">
        <is>
          <t>OEFA</t>
        </is>
      </c>
      <c r="F159" t="inlineStr">
        <is>
          <t>QA</t>
        </is>
      </c>
      <c r="G159" t="inlineStr">
        <is>
          <t>Gestión Documental</t>
        </is>
      </c>
      <c r="H159" t="inlineStr">
        <is>
          <t>Pendiente</t>
        </is>
      </c>
      <c r="I159" t="inlineStr">
        <is>
          <t>Público</t>
        </is>
      </c>
      <c r="J159" t="inlineStr">
        <is>
          <t>Alta</t>
        </is>
      </c>
      <c r="K159" t="inlineStr">
        <is>
          <t>El presente documento corresponde a un solicitud emitido por OEFA, relacionado con clasificación documental, trazabilidad y metadatos. El área responsable es QA.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59" t="inlineStr">
        <is>
          <t>Solicitud de OEFA asociado a clasificación documental y gestionado por QA.</t>
        </is>
      </c>
      <c r="M159" t="inlineStr">
        <is>
          <t>Gestión Documental, Solicitud, clasificación documental, trazabilidad, metadatos</t>
        </is>
      </c>
      <c r="N159" t="inlineStr">
        <is>
          <t>¿Qué indica el documento DOC-0158 sobre clasificación documental?</t>
        </is>
      </c>
      <c r="O159" t="inlineStr">
        <is>
          <t>El documento DOC-0158 indica que se debe revisar clasificación documental, validar antecedentes y coordinar acciones con el área QA.</t>
        </is>
      </c>
      <c r="P159" t="inlineStr">
        <is>
          <t>DOC-0158_Solicitud.pdf</t>
        </is>
      </c>
      <c r="Q159" t="inlineStr">
        <is>
          <t>Registro sintético para entrenamiento inicial del agente documental.</t>
        </is>
      </c>
    </row>
    <row r="160">
      <c r="A160" t="inlineStr">
        <is>
          <t>DOC-0159</t>
        </is>
      </c>
      <c r="B160" t="inlineStr">
        <is>
          <t>Carta</t>
        </is>
      </c>
      <c r="C160" t="inlineStr">
        <is>
          <t>Carta sobre SLA - Sunass</t>
        </is>
      </c>
      <c r="D160" s="7" t="n">
        <v>45762</v>
      </c>
      <c r="E160" t="inlineStr">
        <is>
          <t>Sunass</t>
        </is>
      </c>
      <c r="F160" t="inlineStr">
        <is>
          <t>QA</t>
        </is>
      </c>
      <c r="G160" t="inlineStr">
        <is>
          <t>Operaciones</t>
        </is>
      </c>
      <c r="H160" t="inlineStr">
        <is>
          <t>Archivado</t>
        </is>
      </c>
      <c r="I160" t="inlineStr">
        <is>
          <t>Público</t>
        </is>
      </c>
      <c r="J160" t="inlineStr">
        <is>
          <t>Alta</t>
        </is>
      </c>
      <c r="K160" t="inlineStr">
        <is>
          <t>El presente documento corresponde a un carta emitido por Sunass, relacionado con SLA, priorización y gestión operativa.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0" t="inlineStr">
        <is>
          <t>Carta de Sunass asociado a SLA y gestionado por QA.</t>
        </is>
      </c>
      <c r="M160" t="inlineStr">
        <is>
          <t>Operaciones, Carta, SLA, priorización, gestión operativa</t>
        </is>
      </c>
      <c r="N160" t="inlineStr">
        <is>
          <t>¿Qué indica el documento DOC-0159 sobre SLA?</t>
        </is>
      </c>
      <c r="O160" t="inlineStr">
        <is>
          <t>El documento DOC-0159 indica que se debe revisar SLA, validar antecedentes y coordinar acciones con el área QA.</t>
        </is>
      </c>
      <c r="P160" t="inlineStr">
        <is>
          <t>DOC-0159_Carta.pdf</t>
        </is>
      </c>
      <c r="Q160" t="inlineStr">
        <is>
          <t>Registro sintético para entrenamiento inicial del agente documental.</t>
        </is>
      </c>
    </row>
    <row r="161">
      <c r="A161" t="inlineStr">
        <is>
          <t>DOC-0160</t>
        </is>
      </c>
      <c r="B161" t="inlineStr">
        <is>
          <t>Memorando</t>
        </is>
      </c>
      <c r="C161" t="inlineStr">
        <is>
          <t>Memorando sobre priorización - Caja Cusco</t>
        </is>
      </c>
      <c r="D161" s="7" t="n">
        <v>45927</v>
      </c>
      <c r="E161" t="inlineStr">
        <is>
          <t>Caja Cusco</t>
        </is>
      </c>
      <c r="F161" t="inlineStr">
        <is>
          <t>Comercial</t>
        </is>
      </c>
      <c r="G161" t="inlineStr">
        <is>
          <t>Operaciones</t>
        </is>
      </c>
      <c r="H161" t="inlineStr">
        <is>
          <t>Vigente</t>
        </is>
      </c>
      <c r="I161" t="inlineStr">
        <is>
          <t>Público</t>
        </is>
      </c>
      <c r="J161" t="inlineStr">
        <is>
          <t>Crítica</t>
        </is>
      </c>
      <c r="K161" t="inlineStr">
        <is>
          <t>El presente documento corresponde a un memorando emitido por Caja Cusco, relacionado con priorización, SLA y incidencias. El área responsable es Comercial.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1" t="inlineStr">
        <is>
          <t>Memorando de Caja Cusco asociado a priorización y gestionado por Comercial.</t>
        </is>
      </c>
      <c r="M161" t="inlineStr">
        <is>
          <t>Operaciones, Memorando, priorización, SLA, incidencias</t>
        </is>
      </c>
      <c r="N161" t="inlineStr">
        <is>
          <t>¿Qué indica el documento DOC-0160 sobre priorización?</t>
        </is>
      </c>
      <c r="O161" t="inlineStr">
        <is>
          <t>El documento DOC-0160 indica que se debe revisar priorización, validar antecedentes y coordinar acciones con el área Comercial.</t>
        </is>
      </c>
      <c r="P161" t="inlineStr">
        <is>
          <t>DOC-0160_Memorando.pdf</t>
        </is>
      </c>
      <c r="Q161" t="inlineStr">
        <is>
          <t>Registro sintético para entrenamiento inicial del agente documental.</t>
        </is>
      </c>
    </row>
    <row r="162">
      <c r="A162" t="inlineStr">
        <is>
          <t>DOC-0161</t>
        </is>
      </c>
      <c r="B162" t="inlineStr">
        <is>
          <t>Memorando</t>
        </is>
      </c>
      <c r="C162" t="inlineStr">
        <is>
          <t>Memorando sobre cláusulas de servicio - Servir</t>
        </is>
      </c>
      <c r="D162" s="7" t="n">
        <v>46048</v>
      </c>
      <c r="E162" t="inlineStr">
        <is>
          <t>Servir</t>
        </is>
      </c>
      <c r="F162" t="inlineStr">
        <is>
          <t>TI</t>
        </is>
      </c>
      <c r="G162" t="inlineStr">
        <is>
          <t>Legal</t>
        </is>
      </c>
      <c r="H162" t="inlineStr">
        <is>
          <t>Archivado</t>
        </is>
      </c>
      <c r="I162" t="inlineStr">
        <is>
          <t>Interno</t>
        </is>
      </c>
      <c r="J162" t="inlineStr">
        <is>
          <t>Baja</t>
        </is>
      </c>
      <c r="K162" t="inlineStr">
        <is>
          <t>El presente documento corresponde a un memorando emitido por Servir, relacionado con cláusulas de servicio, cumplimiento normativo y penalidades. El área responsable es TI.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2" t="inlineStr">
        <is>
          <t>Memorando de Servir asociado a cláusulas de servicio y gestionado por TI.</t>
        </is>
      </c>
      <c r="M162" t="inlineStr">
        <is>
          <t>Legal, Memorando, cláusulas de servicio, cumplimiento normativo, penalidades</t>
        </is>
      </c>
      <c r="N162" t="inlineStr">
        <is>
          <t>¿Qué indica el documento DOC-0161 sobre cláusulas de servicio?</t>
        </is>
      </c>
      <c r="O162" t="inlineStr">
        <is>
          <t>El documento DOC-0161 indica que se debe revisar cláusulas de servicio, validar antecedentes y coordinar acciones con el área TI.</t>
        </is>
      </c>
      <c r="P162" t="inlineStr">
        <is>
          <t>DOC-0161_Memorando.pdf</t>
        </is>
      </c>
      <c r="Q162" t="inlineStr">
        <is>
          <t>Registro sintético para entrenamiento inicial del agente documental.</t>
        </is>
      </c>
    </row>
    <row r="163">
      <c r="A163" t="inlineStr">
        <is>
          <t>DOC-0162</t>
        </is>
      </c>
      <c r="B163" t="inlineStr">
        <is>
          <t>Expediente</t>
        </is>
      </c>
      <c r="C163" t="inlineStr">
        <is>
          <t>Expediente sobre mesa de ayuda - APN</t>
        </is>
      </c>
      <c r="D163" s="7" t="n">
        <v>46031</v>
      </c>
      <c r="E163" t="inlineStr">
        <is>
          <t>APN</t>
        </is>
      </c>
      <c r="F163" t="inlineStr">
        <is>
          <t>Gestión Documental</t>
        </is>
      </c>
      <c r="G163" t="inlineStr">
        <is>
          <t>Soporte</t>
        </is>
      </c>
      <c r="H163" t="inlineStr">
        <is>
          <t>Pendiente</t>
        </is>
      </c>
      <c r="I163" t="inlineStr">
        <is>
          <t>Interno</t>
        </is>
      </c>
      <c r="J163" t="inlineStr">
        <is>
          <t>Crítica</t>
        </is>
      </c>
      <c r="K163" t="inlineStr">
        <is>
          <t>El presente documento corresponde a un expediente emitido por APN, relacionado con mesa de ayuda, escalamiento y incidente reportado. El área responsable es Gestión Documental.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3" t="inlineStr">
        <is>
          <t>Expediente de APN asociado a mesa de ayuda y gestionado por Gestión Documental.</t>
        </is>
      </c>
      <c r="M163" t="inlineStr">
        <is>
          <t>Soporte, Expediente, mesa de ayuda, escalamiento, incidente reportado</t>
        </is>
      </c>
      <c r="N163" t="inlineStr">
        <is>
          <t>¿Qué indica el documento DOC-0162 sobre mesa de ayuda?</t>
        </is>
      </c>
      <c r="O163" t="inlineStr">
        <is>
          <t>El documento DOC-0162 indica que se debe revisar mesa de ayuda, validar antecedentes y coordinar acciones con el área Gestión Documental.</t>
        </is>
      </c>
      <c r="P163" t="inlineStr">
        <is>
          <t>DOC-0162_Expediente.pdf</t>
        </is>
      </c>
      <c r="Q163" t="inlineStr">
        <is>
          <t>Registro sintético para entrenamiento inicial del agente documental.</t>
        </is>
      </c>
    </row>
    <row r="164">
      <c r="A164" t="inlineStr">
        <is>
          <t>DOC-0163</t>
        </is>
      </c>
      <c r="B164" t="inlineStr">
        <is>
          <t>Solicitud</t>
        </is>
      </c>
      <c r="C164" t="inlineStr">
        <is>
          <t>Solicitud sobre base de datos - Minam</t>
        </is>
      </c>
      <c r="D164" s="7" t="n">
        <v>45833</v>
      </c>
      <c r="E164" t="inlineStr">
        <is>
          <t>Minam</t>
        </is>
      </c>
      <c r="F164" t="inlineStr">
        <is>
          <t>QA</t>
        </is>
      </c>
      <c r="G164" t="inlineStr">
        <is>
          <t>Técnico</t>
        </is>
      </c>
      <c r="H164" t="inlineStr">
        <is>
          <t>Archivado</t>
        </is>
      </c>
      <c r="I164" t="inlineStr">
        <is>
          <t>Interno</t>
        </is>
      </c>
      <c r="J164" t="inlineStr">
        <is>
          <t>Baja</t>
        </is>
      </c>
      <c r="K164" t="inlineStr">
        <is>
          <t>El presente documento corresponde a un solicitud emitido por Minam, relacionado con base de datos, integración de sistemas y arquitectura tecnológica. El área responsable es QA.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4" t="inlineStr">
        <is>
          <t>Solicitud de Minam asociado a base de datos y gestionado por QA.</t>
        </is>
      </c>
      <c r="M164" t="inlineStr">
        <is>
          <t>Técnico, Solicitud, base de datos, integración de sistemas, arquitectura tecnológica</t>
        </is>
      </c>
      <c r="N164" t="inlineStr">
        <is>
          <t>¿Qué indica el documento DOC-0163 sobre base de datos?</t>
        </is>
      </c>
      <c r="O164" t="inlineStr">
        <is>
          <t>El documento DOC-0163 indica que se debe revisar base de datos, validar antecedentes y coordinar acciones con el área QA.</t>
        </is>
      </c>
      <c r="P164" t="inlineStr">
        <is>
          <t>DOC-0163_Solicitud.pdf</t>
        </is>
      </c>
      <c r="Q164" t="inlineStr">
        <is>
          <t>Registro sintético para entrenamiento inicial del agente documental.</t>
        </is>
      </c>
    </row>
    <row r="165">
      <c r="A165" t="inlineStr">
        <is>
          <t>DOC-0164</t>
        </is>
      </c>
      <c r="B165" t="inlineStr">
        <is>
          <t>Memorando</t>
        </is>
      </c>
      <c r="C165" t="inlineStr">
        <is>
          <t>Memorando sobre cláusulas de servicio - UTP</t>
        </is>
      </c>
      <c r="D165" s="7" t="n">
        <v>45687</v>
      </c>
      <c r="E165" t="inlineStr">
        <is>
          <t>UTP</t>
        </is>
      </c>
      <c r="F165" t="inlineStr">
        <is>
          <t>Operaciones</t>
        </is>
      </c>
      <c r="G165" t="inlineStr">
        <is>
          <t>Legal</t>
        </is>
      </c>
      <c r="H165" t="inlineStr">
        <is>
          <t>Archivado</t>
        </is>
      </c>
      <c r="I165" t="inlineStr">
        <is>
          <t>Confidencial</t>
        </is>
      </c>
      <c r="J165" t="inlineStr">
        <is>
          <t>Media</t>
        </is>
      </c>
      <c r="K165" t="inlineStr">
        <is>
          <t>El presente documento corresponde a un memorando emitido por UTP, relacionado con cláusulas de servicio, vigencia contractual y cumplimiento normativo. El área responsable es Operaciones.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5" t="inlineStr">
        <is>
          <t>Memorando de UTP asociado a cláusulas de servicio y gestionado por Operaciones.</t>
        </is>
      </c>
      <c r="M165" t="inlineStr">
        <is>
          <t>Legal, Memorando, cláusulas de servicio, vigencia contractual, cumplimiento normativo</t>
        </is>
      </c>
      <c r="N165" t="inlineStr">
        <is>
          <t>¿Qué indica el documento DOC-0164 sobre cláusulas de servicio?</t>
        </is>
      </c>
      <c r="O165" t="inlineStr">
        <is>
          <t>El documento DOC-0164 indica que se debe revisar cláusulas de servicio, validar antecedentes y coordinar acciones con el área Operaciones.</t>
        </is>
      </c>
      <c r="P165" t="inlineStr">
        <is>
          <t>DOC-0164_Memorando.pdf</t>
        </is>
      </c>
      <c r="Q165" t="inlineStr">
        <is>
          <t>Registro sintético para entrenamiento inicial del agente documental.</t>
        </is>
      </c>
    </row>
    <row r="166">
      <c r="A166" t="inlineStr">
        <is>
          <t>DOC-0165</t>
        </is>
      </c>
      <c r="B166" t="inlineStr">
        <is>
          <t>Expediente</t>
        </is>
      </c>
      <c r="C166" t="inlineStr">
        <is>
          <t>Expediente sobre cierre de ticket - Minam</t>
        </is>
      </c>
      <c r="D166" s="7" t="n">
        <v>45831</v>
      </c>
      <c r="E166" t="inlineStr">
        <is>
          <t>Minam</t>
        </is>
      </c>
      <c r="F166" t="inlineStr">
        <is>
          <t>Soporte</t>
        </is>
      </c>
      <c r="G166" t="inlineStr">
        <is>
          <t>Soporte</t>
        </is>
      </c>
      <c r="H166" t="inlineStr">
        <is>
          <t>Pendiente</t>
        </is>
      </c>
      <c r="I166" t="inlineStr">
        <is>
          <t>Interno</t>
        </is>
      </c>
      <c r="J166" t="inlineStr">
        <is>
          <t>Crítica</t>
        </is>
      </c>
      <c r="K166" t="inlineStr">
        <is>
          <t>El presente documento corresponde a un expediente emitido por Minam, relacionado con cierre de ticket, mesa de ayuda y escalamiento. El área responsable es Soporte.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6" t="inlineStr">
        <is>
          <t>Expediente de Minam asociado a cierre de ticket y gestionado por Soporte.</t>
        </is>
      </c>
      <c r="M166" t="inlineStr">
        <is>
          <t>Soporte, Expediente, cierre de ticket, mesa de ayuda, escalamiento</t>
        </is>
      </c>
      <c r="N166" t="inlineStr">
        <is>
          <t>¿Qué indica el documento DOC-0165 sobre cierre de ticket?</t>
        </is>
      </c>
      <c r="O166" t="inlineStr">
        <is>
          <t>El documento DOC-0165 indica que se debe revisar cierre de ticket, validar antecedentes y coordinar acciones con el área Soporte.</t>
        </is>
      </c>
      <c r="P166" t="inlineStr">
        <is>
          <t>DOC-0165_Expediente.pdf</t>
        </is>
      </c>
      <c r="Q166" t="inlineStr">
        <is>
          <t>Registro sintético para entrenamiento inicial del agente documental.</t>
        </is>
      </c>
    </row>
    <row r="167">
      <c r="A167" t="inlineStr">
        <is>
          <t>DOC-0166</t>
        </is>
      </c>
      <c r="B167" t="inlineStr">
        <is>
          <t>Expediente</t>
        </is>
      </c>
      <c r="C167" t="inlineStr">
        <is>
          <t>Expediente sobre obligaciones contractuales - Sunass</t>
        </is>
      </c>
      <c r="D167" s="7" t="n">
        <v>46117</v>
      </c>
      <c r="E167" t="inlineStr">
        <is>
          <t>Sunass</t>
        </is>
      </c>
      <c r="F167" t="inlineStr">
        <is>
          <t>TI</t>
        </is>
      </c>
      <c r="G167" t="inlineStr">
        <is>
          <t>Legal</t>
        </is>
      </c>
      <c r="H167" t="inlineStr">
        <is>
          <t>Observado</t>
        </is>
      </c>
      <c r="I167" t="inlineStr">
        <is>
          <t>Confidencial</t>
        </is>
      </c>
      <c r="J167" t="inlineStr">
        <is>
          <t>Alta</t>
        </is>
      </c>
      <c r="K167" t="inlineStr">
        <is>
          <t>El presente documento corresponde a un expediente emitido por Sunass, relacionado con obligaciones contractuales, penalidades y cláusulas de servicio. El área responsable es TI.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7" t="inlineStr">
        <is>
          <t>Expediente de Sunass asociado a obligaciones contractuales y gestionado por TI.</t>
        </is>
      </c>
      <c r="M167" t="inlineStr">
        <is>
          <t>Legal, Expediente, obligaciones contractuales, penalidades, cláusulas de servicio</t>
        </is>
      </c>
      <c r="N167" t="inlineStr">
        <is>
          <t>¿Qué indica el documento DOC-0166 sobre obligaciones contractuales?</t>
        </is>
      </c>
      <c r="O167" t="inlineStr">
        <is>
          <t>El documento DOC-0166 indica que se debe revisar obligaciones contractuales, validar antecedentes y coordinar acciones con el área TI.</t>
        </is>
      </c>
      <c r="P167" t="inlineStr">
        <is>
          <t>DOC-0166_Expediente.pdf</t>
        </is>
      </c>
      <c r="Q167" t="inlineStr">
        <is>
          <t>Registro sintético para entrenamiento inicial del agente documental.</t>
        </is>
      </c>
    </row>
    <row r="168">
      <c r="A168" t="inlineStr">
        <is>
          <t>DOC-0167</t>
        </is>
      </c>
      <c r="B168" t="inlineStr">
        <is>
          <t>Informe Técnico</t>
        </is>
      </c>
      <c r="C168" t="inlineStr">
        <is>
          <t>Informe Técnico sobre disponibilidad - Minam</t>
        </is>
      </c>
      <c r="D168" s="7" t="n">
        <v>45981</v>
      </c>
      <c r="E168" t="inlineStr">
        <is>
          <t>Minam</t>
        </is>
      </c>
      <c r="F168" t="inlineStr">
        <is>
          <t>Comercial</t>
        </is>
      </c>
      <c r="G168" t="inlineStr">
        <is>
          <t>Técnico</t>
        </is>
      </c>
      <c r="H168" t="inlineStr">
        <is>
          <t>Pendiente</t>
        </is>
      </c>
      <c r="I168" t="inlineStr">
        <is>
          <t>Público</t>
        </is>
      </c>
      <c r="J168" t="inlineStr">
        <is>
          <t>Baja</t>
        </is>
      </c>
      <c r="K168" t="inlineStr">
        <is>
          <t>El presente documento corresponde a un informe técnico emitido por Minam, relacionado con disponibilidad, seguridad y base de datos. El área responsable es Comercial.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8" t="inlineStr">
        <is>
          <t>Informe Técnico de Minam asociado a disponibilidad y gestionado por Comercial.</t>
        </is>
      </c>
      <c r="M168" t="inlineStr">
        <is>
          <t>Técnico, Informe Técnico, disponibilidad, seguridad, base de datos</t>
        </is>
      </c>
      <c r="N168" t="inlineStr">
        <is>
          <t>¿Qué indica el documento DOC-0167 sobre disponibilidad?</t>
        </is>
      </c>
      <c r="O168" t="inlineStr">
        <is>
          <t>El documento DOC-0167 indica que se debe revisar disponibilidad, validar antecedentes y coordinar acciones con el área Comercial.</t>
        </is>
      </c>
      <c r="P168" t="inlineStr">
        <is>
          <t>DOC-0167_Informe_Técnico.pdf</t>
        </is>
      </c>
      <c r="Q168" t="inlineStr">
        <is>
          <t>Registro sintético para entrenamiento inicial del agente documental.</t>
        </is>
      </c>
    </row>
    <row r="169">
      <c r="A169" t="inlineStr">
        <is>
          <t>DOC-0168</t>
        </is>
      </c>
      <c r="B169" t="inlineStr">
        <is>
          <t>Solicitud</t>
        </is>
      </c>
      <c r="C169" t="inlineStr">
        <is>
          <t>Solicitud sobre búsqueda semántica - Caja Cusco</t>
        </is>
      </c>
      <c r="D169" s="7" t="n">
        <v>45771</v>
      </c>
      <c r="E169" t="inlineStr">
        <is>
          <t>Caja Cusco</t>
        </is>
      </c>
      <c r="F169" t="inlineStr">
        <is>
          <t>Soporte</t>
        </is>
      </c>
      <c r="G169" t="inlineStr">
        <is>
          <t>Gestión Documental</t>
        </is>
      </c>
      <c r="H169" t="inlineStr">
        <is>
          <t>En revisión</t>
        </is>
      </c>
      <c r="I169" t="inlineStr">
        <is>
          <t>Interno</t>
        </is>
      </c>
      <c r="J169" t="inlineStr">
        <is>
          <t>Media</t>
        </is>
      </c>
      <c r="K169" t="inlineStr">
        <is>
          <t>El presente documento corresponde a un solicitud emitido por Caja Cusco, relacionado con búsqueda semántica, clasificación documental y expediente digital. El área responsable es Soporte.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69" t="inlineStr">
        <is>
          <t>Solicitud de Caja Cusco asociado a búsqueda semántica y gestionado por Soporte.</t>
        </is>
      </c>
      <c r="M169" t="inlineStr">
        <is>
          <t>Gestión Documental, Solicitud, búsqueda semántica, clasificación documental, expediente digital</t>
        </is>
      </c>
      <c r="N169" t="inlineStr">
        <is>
          <t>¿Qué indica el documento DOC-0168 sobre búsqueda semántica?</t>
        </is>
      </c>
      <c r="O169" t="inlineStr">
        <is>
          <t>El documento DOC-0168 indica que se debe revisar búsqueda semántica, validar antecedentes y coordinar acciones con el área Soporte.</t>
        </is>
      </c>
      <c r="P169" t="inlineStr">
        <is>
          <t>DOC-0168_Solicitud.pdf</t>
        </is>
      </c>
      <c r="Q169" t="inlineStr">
        <is>
          <t>Registro sintético para entrenamiento inicial del agente documental.</t>
        </is>
      </c>
    </row>
    <row r="170">
      <c r="A170" t="inlineStr">
        <is>
          <t>DOC-0169</t>
        </is>
      </c>
      <c r="B170" t="inlineStr">
        <is>
          <t>Acta</t>
        </is>
      </c>
      <c r="C170" t="inlineStr">
        <is>
          <t>Acta sobre incidente reportado - Osinergmin</t>
        </is>
      </c>
      <c r="D170" s="7" t="n">
        <v>46163</v>
      </c>
      <c r="E170" t="inlineStr">
        <is>
          <t>Osinergmin</t>
        </is>
      </c>
      <c r="F170" t="inlineStr">
        <is>
          <t>Comercial</t>
        </is>
      </c>
      <c r="G170" t="inlineStr">
        <is>
          <t>Soporte</t>
        </is>
      </c>
      <c r="H170" t="inlineStr">
        <is>
          <t>En revisión</t>
        </is>
      </c>
      <c r="I170" t="inlineStr">
        <is>
          <t>Interno</t>
        </is>
      </c>
      <c r="J170" t="inlineStr">
        <is>
          <t>Baja</t>
        </is>
      </c>
      <c r="K170" t="inlineStr">
        <is>
          <t>El presente documento corresponde a un acta emitido por Osinergmin, relacionado con incidente reportado, tiempo de atención y escalamiento. El área responsable es Comercial.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0" t="inlineStr">
        <is>
          <t>Acta de Osinergmin asociado a incidente reportado y gestionado por Comercial.</t>
        </is>
      </c>
      <c r="M170" t="inlineStr">
        <is>
          <t>Soporte, Acta, incidente reportado, tiempo de atención, escalamiento</t>
        </is>
      </c>
      <c r="N170" t="inlineStr">
        <is>
          <t>¿Qué indica el documento DOC-0169 sobre incidente reportado?</t>
        </is>
      </c>
      <c r="O170" t="inlineStr">
        <is>
          <t>El documento DOC-0169 indica que se debe revisar incidente reportado, validar antecedentes y coordinar acciones con el área Comercial.</t>
        </is>
      </c>
      <c r="P170" t="inlineStr">
        <is>
          <t>DOC-0169_Acta.pdf</t>
        </is>
      </c>
      <c r="Q170" t="inlineStr">
        <is>
          <t>Registro sintético para entrenamiento inicial del agente documental.</t>
        </is>
      </c>
    </row>
    <row r="171">
      <c r="A171" t="inlineStr">
        <is>
          <t>DOC-0170</t>
        </is>
      </c>
      <c r="B171" t="inlineStr">
        <is>
          <t>Reclamo</t>
        </is>
      </c>
      <c r="C171" t="inlineStr">
        <is>
          <t>Reclamo sobre incidencias - COES</t>
        </is>
      </c>
      <c r="D171" s="7" t="n">
        <v>46117</v>
      </c>
      <c r="E171" t="inlineStr">
        <is>
          <t>COES</t>
        </is>
      </c>
      <c r="F171" t="inlineStr">
        <is>
          <t>Mesa de Partes</t>
        </is>
      </c>
      <c r="G171" t="inlineStr">
        <is>
          <t>Operaciones</t>
        </is>
      </c>
      <c r="H171" t="inlineStr">
        <is>
          <t>Vigente</t>
        </is>
      </c>
      <c r="I171" t="inlineStr">
        <is>
          <t>Interno</t>
        </is>
      </c>
      <c r="J171" t="inlineStr">
        <is>
          <t>Alta</t>
        </is>
      </c>
      <c r="K171" t="inlineStr">
        <is>
          <t>El presente documento corresponde a un reclamo emitido por COES, relacionado con incidencias, SLA y priorización. El área responsable es Mesa de Partes.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1" t="inlineStr">
        <is>
          <t>Reclamo de COES asociado a incidencias y gestionado por Mesa de Partes.</t>
        </is>
      </c>
      <c r="M171" t="inlineStr">
        <is>
          <t>Operaciones, Reclamo, incidencias, SLA, priorización</t>
        </is>
      </c>
      <c r="N171" t="inlineStr">
        <is>
          <t>¿Qué indica el documento DOC-0170 sobre incidencias?</t>
        </is>
      </c>
      <c r="O171" t="inlineStr">
        <is>
          <t>El documento DOC-0170 indica que se debe revisar incidencias, validar antecedentes y coordinar acciones con el área Mesa de Partes.</t>
        </is>
      </c>
      <c r="P171" t="inlineStr">
        <is>
          <t>DOC-0170_Reclamo.pdf</t>
        </is>
      </c>
      <c r="Q171" t="inlineStr">
        <is>
          <t>Registro sintético para entrenamiento inicial del agente documental.</t>
        </is>
      </c>
    </row>
    <row r="172">
      <c r="A172" t="inlineStr">
        <is>
          <t>DOC-0171</t>
        </is>
      </c>
      <c r="B172" t="inlineStr">
        <is>
          <t>Resolución</t>
        </is>
      </c>
      <c r="C172" t="inlineStr">
        <is>
          <t>Resolución sobre vigencia contractual - Minam</t>
        </is>
      </c>
      <c r="D172" s="7" t="n">
        <v>45958</v>
      </c>
      <c r="E172" t="inlineStr">
        <is>
          <t>Minam</t>
        </is>
      </c>
      <c r="F172" t="inlineStr">
        <is>
          <t>Gestión Documental</t>
        </is>
      </c>
      <c r="G172" t="inlineStr">
        <is>
          <t>Legal</t>
        </is>
      </c>
      <c r="H172" t="inlineStr">
        <is>
          <t>Observado</t>
        </is>
      </c>
      <c r="I172" t="inlineStr">
        <is>
          <t>Interno</t>
        </is>
      </c>
      <c r="J172" t="inlineStr">
        <is>
          <t>Baja</t>
        </is>
      </c>
      <c r="K172" t="inlineStr">
        <is>
          <t>El presente documento corresponde a un resolución emitido por Minam, relacionado con vigencia contractual, cláusulas de servicio y obligaciones contractuales. El área responsable es Gestión Documental.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2" t="inlineStr">
        <is>
          <t>Resolución de Minam asociado a vigencia contractual y gestionado por Gestión Documental.</t>
        </is>
      </c>
      <c r="M172" t="inlineStr">
        <is>
          <t>Legal, Resolución, vigencia contractual, cláusulas de servicio, obligaciones contractuales</t>
        </is>
      </c>
      <c r="N172" t="inlineStr">
        <is>
          <t>¿Qué indica el documento DOC-0171 sobre vigencia contractual?</t>
        </is>
      </c>
      <c r="O172" t="inlineStr">
        <is>
          <t>El documento DOC-0171 indica que se debe revisar vigencia contractual, validar antecedentes y coordinar acciones con el área Gestión Documental.</t>
        </is>
      </c>
      <c r="P172" t="inlineStr">
        <is>
          <t>DOC-0171_Resolución.pdf</t>
        </is>
      </c>
      <c r="Q172" t="inlineStr">
        <is>
          <t>Registro sintético para entrenamiento inicial del agente documental.</t>
        </is>
      </c>
    </row>
    <row r="173">
      <c r="A173" t="inlineStr">
        <is>
          <t>DOC-0172</t>
        </is>
      </c>
      <c r="B173" t="inlineStr">
        <is>
          <t>Expediente</t>
        </is>
      </c>
      <c r="C173" t="inlineStr">
        <is>
          <t>Expediente sobre propuesta económica - BTG</t>
        </is>
      </c>
      <c r="D173" s="7" t="n">
        <v>45973</v>
      </c>
      <c r="E173" t="inlineStr">
        <is>
          <t>BTG</t>
        </is>
      </c>
      <c r="F173" t="inlineStr">
        <is>
          <t>Soporte</t>
        </is>
      </c>
      <c r="G173" t="inlineStr">
        <is>
          <t>Comercial</t>
        </is>
      </c>
      <c r="H173" t="inlineStr">
        <is>
          <t>Archivado</t>
        </is>
      </c>
      <c r="I173" t="inlineStr">
        <is>
          <t>Público</t>
        </is>
      </c>
      <c r="J173" t="inlineStr">
        <is>
          <t>Baja</t>
        </is>
      </c>
      <c r="K173" t="inlineStr">
        <is>
          <t>El presente documento corresponde a un expediente emitido por BTG, relacionado con propuesta económica, alcance comercial y condiciones de pago. El área responsable es Soporte.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3" t="inlineStr">
        <is>
          <t>Expediente de BTG asociado a propuesta económica y gestionado por Soporte.</t>
        </is>
      </c>
      <c r="M173" t="inlineStr">
        <is>
          <t>Comercial, Expediente, propuesta económica, alcance comercial, condiciones de pago</t>
        </is>
      </c>
      <c r="N173" t="inlineStr">
        <is>
          <t>¿Qué indica el documento DOC-0172 sobre propuesta económica?</t>
        </is>
      </c>
      <c r="O173" t="inlineStr">
        <is>
          <t>El documento DOC-0172 indica que se debe revisar propuesta económica, validar antecedentes y coordinar acciones con el área Soporte.</t>
        </is>
      </c>
      <c r="P173" t="inlineStr">
        <is>
          <t>DOC-0172_Expediente.pdf</t>
        </is>
      </c>
      <c r="Q173" t="inlineStr">
        <is>
          <t>Registro sintético para entrenamiento inicial del agente documental.</t>
        </is>
      </c>
    </row>
    <row r="174">
      <c r="A174" t="inlineStr">
        <is>
          <t>DOC-0173</t>
        </is>
      </c>
      <c r="B174" t="inlineStr">
        <is>
          <t>Solicitud</t>
        </is>
      </c>
      <c r="C174" t="inlineStr">
        <is>
          <t>Solicitud sobre vigencia contractual - Minam</t>
        </is>
      </c>
      <c r="D174" s="7" t="n">
        <v>46112</v>
      </c>
      <c r="E174" t="inlineStr">
        <is>
          <t>Minam</t>
        </is>
      </c>
      <c r="F174" t="inlineStr">
        <is>
          <t>Legal</t>
        </is>
      </c>
      <c r="G174" t="inlineStr">
        <is>
          <t>Legal</t>
        </is>
      </c>
      <c r="H174" t="inlineStr">
        <is>
          <t>Pendiente</t>
        </is>
      </c>
      <c r="I174" t="inlineStr">
        <is>
          <t>Público</t>
        </is>
      </c>
      <c r="J174" t="inlineStr">
        <is>
          <t>Media</t>
        </is>
      </c>
      <c r="K174" t="inlineStr">
        <is>
          <t>El presente documento corresponde a un solicitud emitido por Minam, relacionado con vigencia contractual, cumplimiento normativo y obligaciones contractuales. El área responsable es Legal.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4" t="inlineStr">
        <is>
          <t>Solicitud de Minam asociado a vigencia contractual y gestionado por Legal.</t>
        </is>
      </c>
      <c r="M174" t="inlineStr">
        <is>
          <t>Legal, Solicitud, vigencia contractual, cumplimiento normativo, obligaciones contractuales</t>
        </is>
      </c>
      <c r="N174" t="inlineStr">
        <is>
          <t>¿Qué indica el documento DOC-0173 sobre vigencia contractual?</t>
        </is>
      </c>
      <c r="O174" t="inlineStr">
        <is>
          <t>El documento DOC-0173 indica que se debe revisar vigencia contractual, validar antecedentes y coordinar acciones con el área Legal.</t>
        </is>
      </c>
      <c r="P174" t="inlineStr">
        <is>
          <t>DOC-0173_Solicitud.pdf</t>
        </is>
      </c>
      <c r="Q174" t="inlineStr">
        <is>
          <t>Registro sintético para entrenamiento inicial del agente documental.</t>
        </is>
      </c>
    </row>
    <row r="175">
      <c r="A175" t="inlineStr">
        <is>
          <t>DOC-0174</t>
        </is>
      </c>
      <c r="B175" t="inlineStr">
        <is>
          <t>Memorando</t>
        </is>
      </c>
      <c r="C175" t="inlineStr">
        <is>
          <t>Memorando sobre SLA - Sunass</t>
        </is>
      </c>
      <c r="D175" s="7" t="n">
        <v>46001</v>
      </c>
      <c r="E175" t="inlineStr">
        <is>
          <t>Sunass</t>
        </is>
      </c>
      <c r="F175" t="inlineStr">
        <is>
          <t>Operaciones</t>
        </is>
      </c>
      <c r="G175" t="inlineStr">
        <is>
          <t>Operaciones</t>
        </is>
      </c>
      <c r="H175" t="inlineStr">
        <is>
          <t>Pendiente</t>
        </is>
      </c>
      <c r="I175" t="inlineStr">
        <is>
          <t>Público</t>
        </is>
      </c>
      <c r="J175" t="inlineStr">
        <is>
          <t>Alta</t>
        </is>
      </c>
      <c r="K175" t="inlineStr">
        <is>
          <t>El presente documento corresponde a un memorando emitido por Sunass, relacionado con SLA, gestión operativa y atención de solicitudes.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5" t="inlineStr">
        <is>
          <t>Memorando de Sunass asociado a SLA y gestionado por Operaciones.</t>
        </is>
      </c>
      <c r="M175" t="inlineStr">
        <is>
          <t>Operaciones, Memorando, SLA, gestión operativa, atención de solicitudes</t>
        </is>
      </c>
      <c r="N175" t="inlineStr">
        <is>
          <t>¿Qué indica el documento DOC-0174 sobre SLA?</t>
        </is>
      </c>
      <c r="O175" t="inlineStr">
        <is>
          <t>El documento DOC-0174 indica que se debe revisar SLA, validar antecedentes y coordinar acciones con el área Operaciones.</t>
        </is>
      </c>
      <c r="P175" t="inlineStr">
        <is>
          <t>DOC-0174_Memorando.pdf</t>
        </is>
      </c>
      <c r="Q175" t="inlineStr">
        <is>
          <t>Registro sintético para entrenamiento inicial del agente documental.</t>
        </is>
      </c>
    </row>
    <row r="176">
      <c r="A176" t="inlineStr">
        <is>
          <t>DOC-0175</t>
        </is>
      </c>
      <c r="B176" t="inlineStr">
        <is>
          <t>Carta</t>
        </is>
      </c>
      <c r="C176" t="inlineStr">
        <is>
          <t>Carta sobre arquitectura tecnológica - Minam</t>
        </is>
      </c>
      <c r="D176" s="7" t="n">
        <v>45974</v>
      </c>
      <c r="E176" t="inlineStr">
        <is>
          <t>Minam</t>
        </is>
      </c>
      <c r="F176" t="inlineStr">
        <is>
          <t>Administración</t>
        </is>
      </c>
      <c r="G176" t="inlineStr">
        <is>
          <t>Técnico</t>
        </is>
      </c>
      <c r="H176" t="inlineStr">
        <is>
          <t>Observado</t>
        </is>
      </c>
      <c r="I176" t="inlineStr">
        <is>
          <t>Público</t>
        </is>
      </c>
      <c r="J176" t="inlineStr">
        <is>
          <t>Crítica</t>
        </is>
      </c>
      <c r="K176" t="inlineStr">
        <is>
          <t>El presente documento corresponde a un carta emitido por Minam, relacionado con arquitectura tecnológica, base de datos y integración de sistemas. El área responsable es Administración.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6" t="inlineStr">
        <is>
          <t>Carta de Minam asociado a arquitectura tecnológica y gestionado por Administración.</t>
        </is>
      </c>
      <c r="M176" t="inlineStr">
        <is>
          <t>Técnico, Carta, arquitectura tecnológica, base de datos, integración de sistemas</t>
        </is>
      </c>
      <c r="N176" t="inlineStr">
        <is>
          <t>¿Qué indica el documento DOC-0175 sobre arquitectura tecnológica?</t>
        </is>
      </c>
      <c r="O176" t="inlineStr">
        <is>
          <t>El documento DOC-0175 indica que se debe revisar arquitectura tecnológica, validar antecedentes y coordinar acciones con el área Administración.</t>
        </is>
      </c>
      <c r="P176" t="inlineStr">
        <is>
          <t>DOC-0175_Carta.pdf</t>
        </is>
      </c>
      <c r="Q176" t="inlineStr">
        <is>
          <t>Registro sintético para entrenamiento inicial del agente documental.</t>
        </is>
      </c>
    </row>
    <row r="177">
      <c r="A177" t="inlineStr">
        <is>
          <t>DOC-0176</t>
        </is>
      </c>
      <c r="B177" t="inlineStr">
        <is>
          <t>Reclamo</t>
        </is>
      </c>
      <c r="C177" t="inlineStr">
        <is>
          <t>Reclamo sobre incidente reportado - OEFA</t>
        </is>
      </c>
      <c r="D177" s="7" t="n">
        <v>46014</v>
      </c>
      <c r="E177" t="inlineStr">
        <is>
          <t>OEFA</t>
        </is>
      </c>
      <c r="F177" t="inlineStr">
        <is>
          <t>Legal</t>
        </is>
      </c>
      <c r="G177" t="inlineStr">
        <is>
          <t>Soporte</t>
        </is>
      </c>
      <c r="H177" t="inlineStr">
        <is>
          <t>Observado</t>
        </is>
      </c>
      <c r="I177" t="inlineStr">
        <is>
          <t>Interno</t>
        </is>
      </c>
      <c r="J177" t="inlineStr">
        <is>
          <t>Crítica</t>
        </is>
      </c>
      <c r="K177" t="inlineStr">
        <is>
          <t>El presente documento corresponde a un reclamo emitido por OEFA, relacionado con incidente reportado, cierre de ticket y tiempo de atención. El área responsable es Legal.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7" t="inlineStr">
        <is>
          <t>Reclamo de OEFA asociado a incidente reportado y gestionado por Legal.</t>
        </is>
      </c>
      <c r="M177" t="inlineStr">
        <is>
          <t>Soporte, Reclamo, incidente reportado, cierre de ticket, tiempo de atención</t>
        </is>
      </c>
      <c r="N177" t="inlineStr">
        <is>
          <t>¿Qué indica el documento DOC-0176 sobre incidente reportado?</t>
        </is>
      </c>
      <c r="O177" t="inlineStr">
        <is>
          <t>El documento DOC-0176 indica que se debe revisar incidente reportado, validar antecedentes y coordinar acciones con el área Legal.</t>
        </is>
      </c>
      <c r="P177" t="inlineStr">
        <is>
          <t>DOC-0176_Reclamo.pdf</t>
        </is>
      </c>
      <c r="Q177" t="inlineStr">
        <is>
          <t>Registro sintético para entrenamiento inicial del agente documental.</t>
        </is>
      </c>
    </row>
    <row r="178">
      <c r="A178" t="inlineStr">
        <is>
          <t>DOC-0177</t>
        </is>
      </c>
      <c r="B178" t="inlineStr">
        <is>
          <t>Acta</t>
        </is>
      </c>
      <c r="C178" t="inlineStr">
        <is>
          <t>Acta sobre atención de solicitudes - APN</t>
        </is>
      </c>
      <c r="D178" s="7" t="n">
        <v>45775</v>
      </c>
      <c r="E178" t="inlineStr">
        <is>
          <t>APN</t>
        </is>
      </c>
      <c r="F178" t="inlineStr">
        <is>
          <t>Gestión Documental</t>
        </is>
      </c>
      <c r="G178" t="inlineStr">
        <is>
          <t>Operaciones</t>
        </is>
      </c>
      <c r="H178" t="inlineStr">
        <is>
          <t>Archivado</t>
        </is>
      </c>
      <c r="I178" t="inlineStr">
        <is>
          <t>Confidencial</t>
        </is>
      </c>
      <c r="J178" t="inlineStr">
        <is>
          <t>Alta</t>
        </is>
      </c>
      <c r="K178" t="inlineStr">
        <is>
          <t>El presente documento corresponde a un acta emitido por APN, relacionado con atención de solicitudes, SLA y incidencias. El área responsable es Gestión Documental.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8" t="inlineStr">
        <is>
          <t>Acta de APN asociado a atención de solicitudes y gestionado por Gestión Documental.</t>
        </is>
      </c>
      <c r="M178" t="inlineStr">
        <is>
          <t>Operaciones, Acta, atención de solicitudes, SLA, incidencias</t>
        </is>
      </c>
      <c r="N178" t="inlineStr">
        <is>
          <t>¿Qué indica el documento DOC-0177 sobre atención de solicitudes?</t>
        </is>
      </c>
      <c r="O178" t="inlineStr">
        <is>
          <t>El documento DOC-0177 indica que se debe revisar atención de solicitudes, validar antecedentes y coordinar acciones con el área Gestión Documental.</t>
        </is>
      </c>
      <c r="P178" t="inlineStr">
        <is>
          <t>DOC-0177_Acta.pdf</t>
        </is>
      </c>
      <c r="Q178" t="inlineStr">
        <is>
          <t>Registro sintético para entrenamiento inicial del agente documental.</t>
        </is>
      </c>
    </row>
    <row r="179">
      <c r="A179" t="inlineStr">
        <is>
          <t>DOC-0178</t>
        </is>
      </c>
      <c r="B179" t="inlineStr">
        <is>
          <t>Acta</t>
        </is>
      </c>
      <c r="C179" t="inlineStr">
        <is>
          <t>Acta sobre trazabilidad - APN</t>
        </is>
      </c>
      <c r="D179" s="7" t="n">
        <v>46109</v>
      </c>
      <c r="E179" t="inlineStr">
        <is>
          <t>APN</t>
        </is>
      </c>
      <c r="F179" t="inlineStr">
        <is>
          <t>Mesa de Partes</t>
        </is>
      </c>
      <c r="G179" t="inlineStr">
        <is>
          <t>Gestión Documental</t>
        </is>
      </c>
      <c r="H179" t="inlineStr">
        <is>
          <t>Vigente</t>
        </is>
      </c>
      <c r="I179" t="inlineStr">
        <is>
          <t>Público</t>
        </is>
      </c>
      <c r="J179" t="inlineStr">
        <is>
          <t>Media</t>
        </is>
      </c>
      <c r="K179" t="inlineStr">
        <is>
          <t>El presente documento corresponde a un acta emitido por APN, relacionado con trazabilidad, expediente digital y búsqueda semántica. El área responsable es Mesa de Partes.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79" t="inlineStr">
        <is>
          <t>Acta de APN asociado a trazabilidad y gestionado por Mesa de Partes.</t>
        </is>
      </c>
      <c r="M179" t="inlineStr">
        <is>
          <t>Gestión Documental, Acta, trazabilidad, expediente digital, búsqueda semántica</t>
        </is>
      </c>
      <c r="N179" t="inlineStr">
        <is>
          <t>¿Qué indica el documento DOC-0178 sobre trazabilidad?</t>
        </is>
      </c>
      <c r="O179" t="inlineStr">
        <is>
          <t>El documento DOC-0178 indica que se debe revisar trazabilidad, validar antecedentes y coordinar acciones con el área Mesa de Partes.</t>
        </is>
      </c>
      <c r="P179" t="inlineStr">
        <is>
          <t>DOC-0178_Acta.pdf</t>
        </is>
      </c>
      <c r="Q179" t="inlineStr">
        <is>
          <t>Registro sintético para entrenamiento inicial del agente documental.</t>
        </is>
      </c>
    </row>
    <row r="180">
      <c r="A180" t="inlineStr">
        <is>
          <t>DOC-0179</t>
        </is>
      </c>
      <c r="B180" t="inlineStr">
        <is>
          <t>Solicitud</t>
        </is>
      </c>
      <c r="C180" t="inlineStr">
        <is>
          <t>Solicitud sobre archivo - Grupo Gloria</t>
        </is>
      </c>
      <c r="D180" s="7" t="n">
        <v>45750</v>
      </c>
      <c r="E180" t="inlineStr">
        <is>
          <t>Grupo Gloria</t>
        </is>
      </c>
      <c r="F180" t="inlineStr">
        <is>
          <t>Administración</t>
        </is>
      </c>
      <c r="G180" t="inlineStr">
        <is>
          <t>Administrativo</t>
        </is>
      </c>
      <c r="H180" t="inlineStr">
        <is>
          <t>Observado</t>
        </is>
      </c>
      <c r="I180" t="inlineStr">
        <is>
          <t>Público</t>
        </is>
      </c>
      <c r="J180" t="inlineStr">
        <is>
          <t>Alta</t>
        </is>
      </c>
      <c r="K180" t="inlineStr">
        <is>
          <t>El presente documento corresponde a un solicitud emitido por Grupo Gloria, relacionado con archivo, seguimiento y registro documentario. El área responsable es Administración.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0" t="inlineStr">
        <is>
          <t>Solicitud de Grupo Gloria asociado a archivo y gestionado por Administración.</t>
        </is>
      </c>
      <c r="M180" t="inlineStr">
        <is>
          <t>Administrativo, Solicitud, archivo, seguimiento, registro documentario</t>
        </is>
      </c>
      <c r="N180" t="inlineStr">
        <is>
          <t>¿Qué indica el documento DOC-0179 sobre archivo?</t>
        </is>
      </c>
      <c r="O180" t="inlineStr">
        <is>
          <t>El documento DOC-0179 indica que se debe revisar archivo, validar antecedentes y coordinar acciones con el área Administración.</t>
        </is>
      </c>
      <c r="P180" t="inlineStr">
        <is>
          <t>DOC-0179_Solicitud.pdf</t>
        </is>
      </c>
      <c r="Q180" t="inlineStr">
        <is>
          <t>Registro sintético para entrenamiento inicial del agente documental.</t>
        </is>
      </c>
    </row>
    <row r="181">
      <c r="A181" t="inlineStr">
        <is>
          <t>DOC-0180</t>
        </is>
      </c>
      <c r="B181" t="inlineStr">
        <is>
          <t>Acta</t>
        </is>
      </c>
      <c r="C181" t="inlineStr">
        <is>
          <t>Acta sobre incidencias - Sunass</t>
        </is>
      </c>
      <c r="D181" s="7" t="n">
        <v>45770</v>
      </c>
      <c r="E181" t="inlineStr">
        <is>
          <t>Sunass</t>
        </is>
      </c>
      <c r="F181" t="inlineStr">
        <is>
          <t>TI</t>
        </is>
      </c>
      <c r="G181" t="inlineStr">
        <is>
          <t>Operaciones</t>
        </is>
      </c>
      <c r="H181" t="inlineStr">
        <is>
          <t>En revisión</t>
        </is>
      </c>
      <c r="I181" t="inlineStr">
        <is>
          <t>Interno</t>
        </is>
      </c>
      <c r="J181" t="inlineStr">
        <is>
          <t>Media</t>
        </is>
      </c>
      <c r="K181" t="inlineStr">
        <is>
          <t>El presente documento corresponde a un acta emitido por Sunass, relacionado con incidencias, SLA y priorización. El área responsable es TI.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1" t="inlineStr">
        <is>
          <t>Acta de Sunass asociado a incidencias y gestionado por TI.</t>
        </is>
      </c>
      <c r="M181" t="inlineStr">
        <is>
          <t>Operaciones, Acta, incidencias, SLA, priorización</t>
        </is>
      </c>
      <c r="N181" t="inlineStr">
        <is>
          <t>¿Qué indica el documento DOC-0180 sobre incidencias?</t>
        </is>
      </c>
      <c r="O181" t="inlineStr">
        <is>
          <t>El documento DOC-0180 indica que se debe revisar incidencias, validar antecedentes y coordinar acciones con el área TI.</t>
        </is>
      </c>
      <c r="P181" t="inlineStr">
        <is>
          <t>DOC-0180_Acta.pdf</t>
        </is>
      </c>
      <c r="Q181" t="inlineStr">
        <is>
          <t>Registro sintético para entrenamiento inicial del agente documental.</t>
        </is>
      </c>
    </row>
    <row r="182">
      <c r="A182" t="inlineStr">
        <is>
          <t>DOC-0181</t>
        </is>
      </c>
      <c r="B182" t="inlineStr">
        <is>
          <t>Carta</t>
        </is>
      </c>
      <c r="C182" t="inlineStr">
        <is>
          <t>Carta sobre base de datos - Servir</t>
        </is>
      </c>
      <c r="D182" s="7" t="n">
        <v>45999</v>
      </c>
      <c r="E182" t="inlineStr">
        <is>
          <t>Servir</t>
        </is>
      </c>
      <c r="F182" t="inlineStr">
        <is>
          <t>Operaciones</t>
        </is>
      </c>
      <c r="G182" t="inlineStr">
        <is>
          <t>Técnico</t>
        </is>
      </c>
      <c r="H182" t="inlineStr">
        <is>
          <t>Pendiente</t>
        </is>
      </c>
      <c r="I182" t="inlineStr">
        <is>
          <t>Interno</t>
        </is>
      </c>
      <c r="J182" t="inlineStr">
        <is>
          <t>Baja</t>
        </is>
      </c>
      <c r="K182" t="inlineStr">
        <is>
          <t>El presente documento corresponde a un carta emitido por Servir, relacionado con base de datos, integración de sistemas y disponibilidad.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2" t="inlineStr">
        <is>
          <t>Carta de Servir asociado a base de datos y gestionado por Operaciones.</t>
        </is>
      </c>
      <c r="M182" t="inlineStr">
        <is>
          <t>Técnico, Carta, base de datos, integración de sistemas, disponibilidad</t>
        </is>
      </c>
      <c r="N182" t="inlineStr">
        <is>
          <t>¿Qué indica el documento DOC-0181 sobre base de datos?</t>
        </is>
      </c>
      <c r="O182" t="inlineStr">
        <is>
          <t>El documento DOC-0181 indica que se debe revisar base de datos, validar antecedentes y coordinar acciones con el área Operaciones.</t>
        </is>
      </c>
      <c r="P182" t="inlineStr">
        <is>
          <t>DOC-0181_Carta.pdf</t>
        </is>
      </c>
      <c r="Q182" t="inlineStr">
        <is>
          <t>Registro sintético para entrenamiento inicial del agente documental.</t>
        </is>
      </c>
    </row>
    <row r="183">
      <c r="A183" t="inlineStr">
        <is>
          <t>DOC-0182</t>
        </is>
      </c>
      <c r="B183" t="inlineStr">
        <is>
          <t>Acta</t>
        </is>
      </c>
      <c r="C183" t="inlineStr">
        <is>
          <t>Acta sobre búsqueda semántica - Servir</t>
        </is>
      </c>
      <c r="D183" s="7" t="n">
        <v>45863</v>
      </c>
      <c r="E183" t="inlineStr">
        <is>
          <t>Servir</t>
        </is>
      </c>
      <c r="F183" t="inlineStr">
        <is>
          <t>Administración</t>
        </is>
      </c>
      <c r="G183" t="inlineStr">
        <is>
          <t>Gestión Documental</t>
        </is>
      </c>
      <c r="H183" t="inlineStr">
        <is>
          <t>Pendiente</t>
        </is>
      </c>
      <c r="I183" t="inlineStr">
        <is>
          <t>Confidencial</t>
        </is>
      </c>
      <c r="J183" t="inlineStr">
        <is>
          <t>Media</t>
        </is>
      </c>
      <c r="K183" t="inlineStr">
        <is>
          <t>El presente documento corresponde a un acta emitido por Servir, relacionado con búsqueda semántica, trazabilidad y expediente digital. El área responsable es Administración.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3" t="inlineStr">
        <is>
          <t>Acta de Servir asociado a búsqueda semántica y gestionado por Administración.</t>
        </is>
      </c>
      <c r="M183" t="inlineStr">
        <is>
          <t>Gestión Documental, Acta, búsqueda semántica, trazabilidad, expediente digital</t>
        </is>
      </c>
      <c r="N183" t="inlineStr">
        <is>
          <t>¿Qué indica el documento DOC-0182 sobre búsqueda semántica?</t>
        </is>
      </c>
      <c r="O183" t="inlineStr">
        <is>
          <t>El documento DOC-0182 indica que se debe revisar búsqueda semántica, validar antecedentes y coordinar acciones con el área Administración.</t>
        </is>
      </c>
      <c r="P183" t="inlineStr">
        <is>
          <t>DOC-0182_Acta.pdf</t>
        </is>
      </c>
      <c r="Q183" t="inlineStr">
        <is>
          <t>Registro sintético para entrenamiento inicial del agente documental.</t>
        </is>
      </c>
    </row>
    <row r="184">
      <c r="A184" t="inlineStr">
        <is>
          <t>DOC-0183</t>
        </is>
      </c>
      <c r="B184" t="inlineStr">
        <is>
          <t>Carta</t>
        </is>
      </c>
      <c r="C184" t="inlineStr">
        <is>
          <t>Carta sobre incidente reportado - OEFA</t>
        </is>
      </c>
      <c r="D184" s="7" t="n">
        <v>46015</v>
      </c>
      <c r="E184" t="inlineStr">
        <is>
          <t>OEFA</t>
        </is>
      </c>
      <c r="F184" t="inlineStr">
        <is>
          <t>Comercial</t>
        </is>
      </c>
      <c r="G184" t="inlineStr">
        <is>
          <t>Soporte</t>
        </is>
      </c>
      <c r="H184" t="inlineStr">
        <is>
          <t>Observado</t>
        </is>
      </c>
      <c r="I184" t="inlineStr">
        <is>
          <t>Público</t>
        </is>
      </c>
      <c r="J184" t="inlineStr">
        <is>
          <t>Baja</t>
        </is>
      </c>
      <c r="K184" t="inlineStr">
        <is>
          <t>El presente documento corresponde a un carta emitido por OEFA, relacionado con incidente reportado, mesa de ayuda y tiempo de atención. El área responsable es Comercial.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4" t="inlineStr">
        <is>
          <t>Carta de OEFA asociado a incidente reportado y gestionado por Comercial.</t>
        </is>
      </c>
      <c r="M184" t="inlineStr">
        <is>
          <t>Soporte, Carta, incidente reportado, mesa de ayuda, tiempo de atención</t>
        </is>
      </c>
      <c r="N184" t="inlineStr">
        <is>
          <t>¿Qué indica el documento DOC-0183 sobre incidente reportado?</t>
        </is>
      </c>
      <c r="O184" t="inlineStr">
        <is>
          <t>El documento DOC-0183 indica que se debe revisar incidente reportado, validar antecedentes y coordinar acciones con el área Comercial.</t>
        </is>
      </c>
      <c r="P184" t="inlineStr">
        <is>
          <t>DOC-0183_Carta.pdf</t>
        </is>
      </c>
      <c r="Q184" t="inlineStr">
        <is>
          <t>Registro sintético para entrenamiento inicial del agente documental.</t>
        </is>
      </c>
    </row>
    <row r="185">
      <c r="A185" t="inlineStr">
        <is>
          <t>DOC-0184</t>
        </is>
      </c>
      <c r="B185" t="inlineStr">
        <is>
          <t>Resolución</t>
        </is>
      </c>
      <c r="C185" t="inlineStr">
        <is>
          <t>Resolución sobre alcance comercial - Cliente Privado</t>
        </is>
      </c>
      <c r="D185" s="7" t="n">
        <v>45932</v>
      </c>
      <c r="E185" t="inlineStr">
        <is>
          <t>Cliente Privado</t>
        </is>
      </c>
      <c r="F185" t="inlineStr">
        <is>
          <t>TI</t>
        </is>
      </c>
      <c r="G185" t="inlineStr">
        <is>
          <t>Comercial</t>
        </is>
      </c>
      <c r="H185" t="inlineStr">
        <is>
          <t>Observado</t>
        </is>
      </c>
      <c r="I185" t="inlineStr">
        <is>
          <t>Público</t>
        </is>
      </c>
      <c r="J185" t="inlineStr">
        <is>
          <t>Media</t>
        </is>
      </c>
      <c r="K185" t="inlineStr">
        <is>
          <t>El presente documento corresponde a un resolución emitido por Cliente Privado, relacionado con alcance comercial, condiciones de pago y servicio contratado. El área responsable es TI.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5" t="inlineStr">
        <is>
          <t>Resolución de Cliente Privado asociado a alcance comercial y gestionado por TI.</t>
        </is>
      </c>
      <c r="M185" t="inlineStr">
        <is>
          <t>Comercial, Resolución, alcance comercial, condiciones de pago, servicio contratado</t>
        </is>
      </c>
      <c r="N185" t="inlineStr">
        <is>
          <t>¿Qué indica el documento DOC-0184 sobre alcance comercial?</t>
        </is>
      </c>
      <c r="O185" t="inlineStr">
        <is>
          <t>El documento DOC-0184 indica que se debe revisar alcance comercial, validar antecedentes y coordinar acciones con el área TI.</t>
        </is>
      </c>
      <c r="P185" t="inlineStr">
        <is>
          <t>DOC-0184_Resolución.pdf</t>
        </is>
      </c>
      <c r="Q185" t="inlineStr">
        <is>
          <t>Registro sintético para entrenamiento inicial del agente documental.</t>
        </is>
      </c>
    </row>
    <row r="186">
      <c r="A186" t="inlineStr">
        <is>
          <t>DOC-0185</t>
        </is>
      </c>
      <c r="B186" t="inlineStr">
        <is>
          <t>Acta</t>
        </is>
      </c>
      <c r="C186" t="inlineStr">
        <is>
          <t>Acta sobre aprobación - OEFA</t>
        </is>
      </c>
      <c r="D186" s="7" t="n">
        <v>45902</v>
      </c>
      <c r="E186" t="inlineStr">
        <is>
          <t>OEFA</t>
        </is>
      </c>
      <c r="F186" t="inlineStr">
        <is>
          <t>Mesa de Partes</t>
        </is>
      </c>
      <c r="G186" t="inlineStr">
        <is>
          <t>Administrativo</t>
        </is>
      </c>
      <c r="H186" t="inlineStr">
        <is>
          <t>Vigente</t>
        </is>
      </c>
      <c r="I186" t="inlineStr">
        <is>
          <t>Interno</t>
        </is>
      </c>
      <c r="J186" t="inlineStr">
        <is>
          <t>Alta</t>
        </is>
      </c>
      <c r="K186" t="inlineStr">
        <is>
          <t>El presente documento corresponde a un acta emitido por OEFA, relacionado con aprobación, seguimiento y registro documentario. El área responsable es Mesa de Partes.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6" t="inlineStr">
        <is>
          <t>Acta de OEFA asociado a aprobación y gestionado por Mesa de Partes.</t>
        </is>
      </c>
      <c r="M186" t="inlineStr">
        <is>
          <t>Administrativo, Acta, aprobación, seguimiento, registro documentario</t>
        </is>
      </c>
      <c r="N186" t="inlineStr">
        <is>
          <t>¿Qué indica el documento DOC-0185 sobre aprobación?</t>
        </is>
      </c>
      <c r="O186" t="inlineStr">
        <is>
          <t>El documento DOC-0185 indica que se debe revisar aprobación, validar antecedentes y coordinar acciones con el área Mesa de Partes.</t>
        </is>
      </c>
      <c r="P186" t="inlineStr">
        <is>
          <t>DOC-0185_Acta.pdf</t>
        </is>
      </c>
      <c r="Q186" t="inlineStr">
        <is>
          <t>Registro sintético para entrenamiento inicial del agente documental.</t>
        </is>
      </c>
    </row>
    <row r="187">
      <c r="A187" t="inlineStr">
        <is>
          <t>DOC-0186</t>
        </is>
      </c>
      <c r="B187" t="inlineStr">
        <is>
          <t>Solicitud</t>
        </is>
      </c>
      <c r="C187" t="inlineStr">
        <is>
          <t>Solicitud sobre expediente digital - Sunass</t>
        </is>
      </c>
      <c r="D187" s="7" t="n">
        <v>45777</v>
      </c>
      <c r="E187" t="inlineStr">
        <is>
          <t>Sunass</t>
        </is>
      </c>
      <c r="F187" t="inlineStr">
        <is>
          <t>Mesa de Partes</t>
        </is>
      </c>
      <c r="G187" t="inlineStr">
        <is>
          <t>Gestión Documental</t>
        </is>
      </c>
      <c r="H187" t="inlineStr">
        <is>
          <t>En revisión</t>
        </is>
      </c>
      <c r="I187" t="inlineStr">
        <is>
          <t>Público</t>
        </is>
      </c>
      <c r="J187" t="inlineStr">
        <is>
          <t>Crítica</t>
        </is>
      </c>
      <c r="K187" t="inlineStr">
        <is>
          <t>El presente documento corresponde a un solicitud emitido por Sunass, relacionado con expediente digital, metadatos y búsqueda semántica. El área responsable es Mesa de Partes.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7" t="inlineStr">
        <is>
          <t>Solicitud de Sunass asociado a expediente digital y gestionado por Mesa de Partes.</t>
        </is>
      </c>
      <c r="M187" t="inlineStr">
        <is>
          <t>Gestión Documental, Solicitud, expediente digital, metadatos, búsqueda semántica</t>
        </is>
      </c>
      <c r="N187" t="inlineStr">
        <is>
          <t>¿Qué indica el documento DOC-0186 sobre expediente digital?</t>
        </is>
      </c>
      <c r="O187" t="inlineStr">
        <is>
          <t>El documento DOC-0186 indica que se debe revisar expediente digital, validar antecedentes y coordinar acciones con el área Mesa de Partes.</t>
        </is>
      </c>
      <c r="P187" t="inlineStr">
        <is>
          <t>DOC-0186_Solicitud.pdf</t>
        </is>
      </c>
      <c r="Q187" t="inlineStr">
        <is>
          <t>Registro sintético para entrenamiento inicial del agente documental.</t>
        </is>
      </c>
    </row>
    <row r="188">
      <c r="A188" t="inlineStr">
        <is>
          <t>DOC-0187</t>
        </is>
      </c>
      <c r="B188" t="inlineStr">
        <is>
          <t>Carta</t>
        </is>
      </c>
      <c r="C188" t="inlineStr">
        <is>
          <t>Carta sobre renovación - Servir</t>
        </is>
      </c>
      <c r="D188" s="7" t="n">
        <v>45776</v>
      </c>
      <c r="E188" t="inlineStr">
        <is>
          <t>Servir</t>
        </is>
      </c>
      <c r="F188" t="inlineStr">
        <is>
          <t>Comercial</t>
        </is>
      </c>
      <c r="G188" t="inlineStr">
        <is>
          <t>Comercial</t>
        </is>
      </c>
      <c r="H188" t="inlineStr">
        <is>
          <t>En revisión</t>
        </is>
      </c>
      <c r="I188" t="inlineStr">
        <is>
          <t>Interno</t>
        </is>
      </c>
      <c r="J188" t="inlineStr">
        <is>
          <t>Media</t>
        </is>
      </c>
      <c r="K188" t="inlineStr">
        <is>
          <t>El presente documento corresponde a un carta emitido por Servir, relacionado con renovación, alcance comercial y condiciones de pago. El área responsable es Comercial.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8" t="inlineStr">
        <is>
          <t>Carta de Servir asociado a renovación y gestionado por Comercial.</t>
        </is>
      </c>
      <c r="M188" t="inlineStr">
        <is>
          <t>Comercial, Carta, renovación, alcance comercial, condiciones de pago</t>
        </is>
      </c>
      <c r="N188" t="inlineStr">
        <is>
          <t>¿Qué indica el documento DOC-0187 sobre renovación?</t>
        </is>
      </c>
      <c r="O188" t="inlineStr">
        <is>
          <t>El documento DOC-0187 indica que se debe revisar renovación, validar antecedentes y coordinar acciones con el área Comercial.</t>
        </is>
      </c>
      <c r="P188" t="inlineStr">
        <is>
          <t>DOC-0187_Carta.pdf</t>
        </is>
      </c>
      <c r="Q188" t="inlineStr">
        <is>
          <t>Registro sintético para entrenamiento inicial del agente documental.</t>
        </is>
      </c>
    </row>
    <row r="189">
      <c r="A189" t="inlineStr">
        <is>
          <t>DOC-0188</t>
        </is>
      </c>
      <c r="B189" t="inlineStr">
        <is>
          <t>Informe Técnico</t>
        </is>
      </c>
      <c r="C189" t="inlineStr">
        <is>
          <t>Informe Técnico sobre SLA - Grupo Gloria</t>
        </is>
      </c>
      <c r="D189" s="7" t="n">
        <v>45682</v>
      </c>
      <c r="E189" t="inlineStr">
        <is>
          <t>Grupo Gloria</t>
        </is>
      </c>
      <c r="F189" t="inlineStr">
        <is>
          <t>Mesa de Partes</t>
        </is>
      </c>
      <c r="G189" t="inlineStr">
        <is>
          <t>Operaciones</t>
        </is>
      </c>
      <c r="H189" t="inlineStr">
        <is>
          <t>Archivado</t>
        </is>
      </c>
      <c r="I189" t="inlineStr">
        <is>
          <t>Público</t>
        </is>
      </c>
      <c r="J189" t="inlineStr">
        <is>
          <t>Baja</t>
        </is>
      </c>
      <c r="K189" t="inlineStr">
        <is>
          <t>El presente documento corresponde a un informe técnico emitido por Grupo Gloria, relacionado con SLA, incidencias y gestión operativa. El área responsable es Mesa de Partes.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89" t="inlineStr">
        <is>
          <t>Informe Técnico de Grupo Gloria asociado a SLA y gestionado por Mesa de Partes.</t>
        </is>
      </c>
      <c r="M189" t="inlineStr">
        <is>
          <t>Operaciones, Informe Técnico, SLA, incidencias, gestión operativa</t>
        </is>
      </c>
      <c r="N189" t="inlineStr">
        <is>
          <t>¿Qué indica el documento DOC-0188 sobre SLA?</t>
        </is>
      </c>
      <c r="O189" t="inlineStr">
        <is>
          <t>El documento DOC-0188 indica que se debe revisar SLA, validar antecedentes y coordinar acciones con el área Mesa de Partes.</t>
        </is>
      </c>
      <c r="P189" t="inlineStr">
        <is>
          <t>DOC-0188_Informe_Técnico.pdf</t>
        </is>
      </c>
      <c r="Q189" t="inlineStr">
        <is>
          <t>Registro sintético para entrenamiento inicial del agente documental.</t>
        </is>
      </c>
    </row>
    <row r="190">
      <c r="A190" t="inlineStr">
        <is>
          <t>DOC-0189</t>
        </is>
      </c>
      <c r="B190" t="inlineStr">
        <is>
          <t>Contrato</t>
        </is>
      </c>
      <c r="C190" t="inlineStr">
        <is>
          <t>Contrato sobre condiciones de pago - Servir</t>
        </is>
      </c>
      <c r="D190" s="7" t="n">
        <v>45730</v>
      </c>
      <c r="E190" t="inlineStr">
        <is>
          <t>Servir</t>
        </is>
      </c>
      <c r="F190" t="inlineStr">
        <is>
          <t>Comercial</t>
        </is>
      </c>
      <c r="G190" t="inlineStr">
        <is>
          <t>Comercial</t>
        </is>
      </c>
      <c r="H190" t="inlineStr">
        <is>
          <t>Archivado</t>
        </is>
      </c>
      <c r="I190" t="inlineStr">
        <is>
          <t>Público</t>
        </is>
      </c>
      <c r="J190" t="inlineStr">
        <is>
          <t>Media</t>
        </is>
      </c>
      <c r="K190" t="inlineStr">
        <is>
          <t>El presente documento corresponde a un contrato emitido por Servir, relacionado con condiciones de pago, servicio contratado y alcance comercial. El área responsable es Comercial.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0" t="inlineStr">
        <is>
          <t>Contrato de Servir asociado a condiciones de pago y gestionado por Comercial.</t>
        </is>
      </c>
      <c r="M190" t="inlineStr">
        <is>
          <t>Comercial, Contrato, condiciones de pago, servicio contratado, alcance comercial</t>
        </is>
      </c>
      <c r="N190" t="inlineStr">
        <is>
          <t>¿Qué indica el documento DOC-0189 sobre condiciones de pago?</t>
        </is>
      </c>
      <c r="O190" t="inlineStr">
        <is>
          <t>El documento DOC-0189 indica que se debe revisar condiciones de pago, validar antecedentes y coordinar acciones con el área Comercial.</t>
        </is>
      </c>
      <c r="P190" t="inlineStr">
        <is>
          <t>DOC-0189_Contrato.pdf</t>
        </is>
      </c>
      <c r="Q190" t="inlineStr">
        <is>
          <t>Registro sintético para entrenamiento inicial del agente documental.</t>
        </is>
      </c>
    </row>
    <row r="191">
      <c r="A191" t="inlineStr">
        <is>
          <t>DOC-0190</t>
        </is>
      </c>
      <c r="B191" t="inlineStr">
        <is>
          <t>Informe Técnico</t>
        </is>
      </c>
      <c r="C191" t="inlineStr">
        <is>
          <t>Informe Técnico sobre validación contable - APN</t>
        </is>
      </c>
      <c r="D191" s="7" t="n">
        <v>45668</v>
      </c>
      <c r="E191" t="inlineStr">
        <is>
          <t>APN</t>
        </is>
      </c>
      <c r="F191" t="inlineStr">
        <is>
          <t>Comercial</t>
        </is>
      </c>
      <c r="G191" t="inlineStr">
        <is>
          <t>Financiero</t>
        </is>
      </c>
      <c r="H191" t="inlineStr">
        <is>
          <t>Archivado</t>
        </is>
      </c>
      <c r="I191" t="inlineStr">
        <is>
          <t>Interno</t>
        </is>
      </c>
      <c r="J191" t="inlineStr">
        <is>
          <t>Baja</t>
        </is>
      </c>
      <c r="K191" t="inlineStr">
        <is>
          <t>El presente documento corresponde a un informe técnico emitido por APN, relacionado con validación contable, cronograma de pagos y orden de compra. El área responsable es Comercial.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1" t="inlineStr">
        <is>
          <t>Informe Técnico de APN asociado a validación contable y gestionado por Comercial.</t>
        </is>
      </c>
      <c r="M191" t="inlineStr">
        <is>
          <t>Financiero, Informe Técnico, validación contable, cronograma de pagos, orden de compra</t>
        </is>
      </c>
      <c r="N191" t="inlineStr">
        <is>
          <t>¿Qué indica el documento DOC-0190 sobre validación contable?</t>
        </is>
      </c>
      <c r="O191" t="inlineStr">
        <is>
          <t>El documento DOC-0190 indica que se debe revisar validación contable, validar antecedentes y coordinar acciones con el área Comercial.</t>
        </is>
      </c>
      <c r="P191" t="inlineStr">
        <is>
          <t>DOC-0190_Informe_Técnico.pdf</t>
        </is>
      </c>
      <c r="Q191" t="inlineStr">
        <is>
          <t>Registro sintético para entrenamiento inicial del agente documental.</t>
        </is>
      </c>
    </row>
    <row r="192">
      <c r="A192" t="inlineStr">
        <is>
          <t>DOC-0191</t>
        </is>
      </c>
      <c r="B192" t="inlineStr">
        <is>
          <t>Acta</t>
        </is>
      </c>
      <c r="C192" t="inlineStr">
        <is>
          <t>Acta sobre cronograma de pagos - UTP</t>
        </is>
      </c>
      <c r="D192" s="7" t="n">
        <v>45844</v>
      </c>
      <c r="E192" t="inlineStr">
        <is>
          <t>UTP</t>
        </is>
      </c>
      <c r="F192" t="inlineStr">
        <is>
          <t>Mesa de Partes</t>
        </is>
      </c>
      <c r="G192" t="inlineStr">
        <is>
          <t>Financiero</t>
        </is>
      </c>
      <c r="H192" t="inlineStr">
        <is>
          <t>Archivado</t>
        </is>
      </c>
      <c r="I192" t="inlineStr">
        <is>
          <t>Público</t>
        </is>
      </c>
      <c r="J192" t="inlineStr">
        <is>
          <t>Baja</t>
        </is>
      </c>
      <c r="K192" t="inlineStr">
        <is>
          <t>El presente documento corresponde a un acta emitido por UTP, relacionado con cronograma de pagos, monto y orden de compra. El área responsable es Mesa de Partes.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2" t="inlineStr">
        <is>
          <t>Acta de UTP asociado a cronograma de pagos y gestionado por Mesa de Partes.</t>
        </is>
      </c>
      <c r="M192" t="inlineStr">
        <is>
          <t>Financiero, Acta, cronograma de pagos, monto, orden de compra</t>
        </is>
      </c>
      <c r="N192" t="inlineStr">
        <is>
          <t>¿Qué indica el documento DOC-0191 sobre cronograma de pagos?</t>
        </is>
      </c>
      <c r="O192" t="inlineStr">
        <is>
          <t>El documento DOC-0191 indica que se debe revisar cronograma de pagos, validar antecedentes y coordinar acciones con el área Mesa de Partes.</t>
        </is>
      </c>
      <c r="P192" t="inlineStr">
        <is>
          <t>DOC-0191_Acta.pdf</t>
        </is>
      </c>
      <c r="Q192" t="inlineStr">
        <is>
          <t>Registro sintético para entrenamiento inicial del agente documental.</t>
        </is>
      </c>
    </row>
    <row r="193">
      <c r="A193" t="inlineStr">
        <is>
          <t>DOC-0192</t>
        </is>
      </c>
      <c r="B193" t="inlineStr">
        <is>
          <t>Resolución</t>
        </is>
      </c>
      <c r="C193" t="inlineStr">
        <is>
          <t>Resolución sobre derivación interna - Ositran</t>
        </is>
      </c>
      <c r="D193" s="7" t="n">
        <v>45931</v>
      </c>
      <c r="E193" t="inlineStr">
        <is>
          <t>Ositran</t>
        </is>
      </c>
      <c r="F193" t="inlineStr">
        <is>
          <t>QA</t>
        </is>
      </c>
      <c r="G193" t="inlineStr">
        <is>
          <t>Administrativo</t>
        </is>
      </c>
      <c r="H193" t="inlineStr">
        <is>
          <t>Observado</t>
        </is>
      </c>
      <c r="I193" t="inlineStr">
        <is>
          <t>Público</t>
        </is>
      </c>
      <c r="J193" t="inlineStr">
        <is>
          <t>Crítica</t>
        </is>
      </c>
      <c r="K193" t="inlineStr">
        <is>
          <t>El presente documento corresponde a un resolución emitido por Ositran, relacionado con derivación interna, archivo y registro documentario. El área responsable es QA.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3" t="inlineStr">
        <is>
          <t>Resolución de Ositran asociado a derivación interna y gestionado por QA.</t>
        </is>
      </c>
      <c r="M193" t="inlineStr">
        <is>
          <t>Administrativo, Resolución, derivación interna, archivo, registro documentario</t>
        </is>
      </c>
      <c r="N193" t="inlineStr">
        <is>
          <t>¿Qué indica el documento DOC-0192 sobre derivación interna?</t>
        </is>
      </c>
      <c r="O193" t="inlineStr">
        <is>
          <t>El documento DOC-0192 indica que se debe revisar derivación interna, validar antecedentes y coordinar acciones con el área QA.</t>
        </is>
      </c>
      <c r="P193" t="inlineStr">
        <is>
          <t>DOC-0192_Resolución.pdf</t>
        </is>
      </c>
      <c r="Q193" t="inlineStr">
        <is>
          <t>Registro sintético para entrenamiento inicial del agente documental.</t>
        </is>
      </c>
    </row>
    <row r="194">
      <c r="A194" t="inlineStr">
        <is>
          <t>DOC-0193</t>
        </is>
      </c>
      <c r="B194" t="inlineStr">
        <is>
          <t>Solicitud</t>
        </is>
      </c>
      <c r="C194" t="inlineStr">
        <is>
          <t>Solicitud sobre escalamiento - Caja Cusco</t>
        </is>
      </c>
      <c r="D194" s="7" t="n">
        <v>46118</v>
      </c>
      <c r="E194" t="inlineStr">
        <is>
          <t>Caja Cusco</t>
        </is>
      </c>
      <c r="F194" t="inlineStr">
        <is>
          <t>TI</t>
        </is>
      </c>
      <c r="G194" t="inlineStr">
        <is>
          <t>Soporte</t>
        </is>
      </c>
      <c r="H194" t="inlineStr">
        <is>
          <t>Archivado</t>
        </is>
      </c>
      <c r="I194" t="inlineStr">
        <is>
          <t>Interno</t>
        </is>
      </c>
      <c r="J194" t="inlineStr">
        <is>
          <t>Alta</t>
        </is>
      </c>
      <c r="K194" t="inlineStr">
        <is>
          <t>El presente documento corresponde a un solicitud emitido por Caja Cusco, relacionado con escalamiento, cierre de ticket y incidente reportado. El área responsable es TI.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4" t="inlineStr">
        <is>
          <t>Solicitud de Caja Cusco asociado a escalamiento y gestionado por TI.</t>
        </is>
      </c>
      <c r="M194" t="inlineStr">
        <is>
          <t>Soporte, Solicitud, escalamiento, cierre de ticket, incidente reportado</t>
        </is>
      </c>
      <c r="N194" t="inlineStr">
        <is>
          <t>¿Qué indica el documento DOC-0193 sobre escalamiento?</t>
        </is>
      </c>
      <c r="O194" t="inlineStr">
        <is>
          <t>El documento DOC-0193 indica que se debe revisar escalamiento, validar antecedentes y coordinar acciones con el área TI.</t>
        </is>
      </c>
      <c r="P194" t="inlineStr">
        <is>
          <t>DOC-0193_Solicitud.pdf</t>
        </is>
      </c>
      <c r="Q194" t="inlineStr">
        <is>
          <t>Registro sintético para entrenamiento inicial del agente documental.</t>
        </is>
      </c>
    </row>
    <row r="195">
      <c r="A195" t="inlineStr">
        <is>
          <t>DOC-0194</t>
        </is>
      </c>
      <c r="B195" t="inlineStr">
        <is>
          <t>Contrato</t>
        </is>
      </c>
      <c r="C195" t="inlineStr">
        <is>
          <t>Contrato sobre incidencias - Sunass</t>
        </is>
      </c>
      <c r="D195" s="7" t="n">
        <v>45939</v>
      </c>
      <c r="E195" t="inlineStr">
        <is>
          <t>Sunass</t>
        </is>
      </c>
      <c r="F195" t="inlineStr">
        <is>
          <t>Mesa de Partes</t>
        </is>
      </c>
      <c r="G195" t="inlineStr">
        <is>
          <t>Operaciones</t>
        </is>
      </c>
      <c r="H195" t="inlineStr">
        <is>
          <t>Vigente</t>
        </is>
      </c>
      <c r="I195" t="inlineStr">
        <is>
          <t>Interno</t>
        </is>
      </c>
      <c r="J195" t="inlineStr">
        <is>
          <t>Media</t>
        </is>
      </c>
      <c r="K195" t="inlineStr">
        <is>
          <t>El presente documento corresponde a un contrato emitido por Sunass, relacionado con incidencias, priorización y atención de solicitudes. El área responsable es Mesa de Partes.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5" t="inlineStr">
        <is>
          <t>Contrato de Sunass asociado a incidencias y gestionado por Mesa de Partes.</t>
        </is>
      </c>
      <c r="M195" t="inlineStr">
        <is>
          <t>Operaciones, Contrato, incidencias, priorización, atención de solicitudes</t>
        </is>
      </c>
      <c r="N195" t="inlineStr">
        <is>
          <t>¿Qué indica el documento DOC-0194 sobre incidencias?</t>
        </is>
      </c>
      <c r="O195" t="inlineStr">
        <is>
          <t>El documento DOC-0194 indica que se debe revisar incidencias, validar antecedentes y coordinar acciones con el área Mesa de Partes.</t>
        </is>
      </c>
      <c r="P195" t="inlineStr">
        <is>
          <t>DOC-0194_Contrato.pdf</t>
        </is>
      </c>
      <c r="Q195" t="inlineStr">
        <is>
          <t>Registro sintético para entrenamiento inicial del agente documental.</t>
        </is>
      </c>
    </row>
    <row r="196">
      <c r="A196" t="inlineStr">
        <is>
          <t>DOC-0195</t>
        </is>
      </c>
      <c r="B196" t="inlineStr">
        <is>
          <t>Oficio</t>
        </is>
      </c>
      <c r="C196" t="inlineStr">
        <is>
          <t>Oficio sobre cronograma de pagos - BTG</t>
        </is>
      </c>
      <c r="D196" s="7" t="n">
        <v>46137</v>
      </c>
      <c r="E196" t="inlineStr">
        <is>
          <t>BTG</t>
        </is>
      </c>
      <c r="F196" t="inlineStr">
        <is>
          <t>Comercial</t>
        </is>
      </c>
      <c r="G196" t="inlineStr">
        <is>
          <t>Financiero</t>
        </is>
      </c>
      <c r="H196" t="inlineStr">
        <is>
          <t>En revisión</t>
        </is>
      </c>
      <c r="I196" t="inlineStr">
        <is>
          <t>Interno</t>
        </is>
      </c>
      <c r="J196" t="inlineStr">
        <is>
          <t>Baja</t>
        </is>
      </c>
      <c r="K196" t="inlineStr">
        <is>
          <t>El presente documento corresponde a un oficio emitido por BTG, relacionado con cronograma de pagos, monto y facturación. El área responsable es Comercial. Se solicita revisar los antecedentes, validar la información registrada, verificar el estado en revisión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6" t="inlineStr">
        <is>
          <t>Oficio de BTG asociado a cronograma de pagos y gestionado por Comercial.</t>
        </is>
      </c>
      <c r="M196" t="inlineStr">
        <is>
          <t>Financiero, Oficio, cronograma de pagos, monto, facturación</t>
        </is>
      </c>
      <c r="N196" t="inlineStr">
        <is>
          <t>¿Qué indica el documento DOC-0195 sobre cronograma de pagos?</t>
        </is>
      </c>
      <c r="O196" t="inlineStr">
        <is>
          <t>El documento DOC-0195 indica que se debe revisar cronograma de pagos, validar antecedentes y coordinar acciones con el área Comercial.</t>
        </is>
      </c>
      <c r="P196" t="inlineStr">
        <is>
          <t>DOC-0195_Oficio.pdf</t>
        </is>
      </c>
      <c r="Q196" t="inlineStr">
        <is>
          <t>Registro sintético para entrenamiento inicial del agente documental.</t>
        </is>
      </c>
    </row>
    <row r="197">
      <c r="A197" t="inlineStr">
        <is>
          <t>DOC-0196</t>
        </is>
      </c>
      <c r="B197" t="inlineStr">
        <is>
          <t>Oficio</t>
        </is>
      </c>
      <c r="C197" t="inlineStr">
        <is>
          <t>Oficio sobre alcance comercial - Grupo Gloria</t>
        </is>
      </c>
      <c r="D197" s="7" t="n">
        <v>45997</v>
      </c>
      <c r="E197" t="inlineStr">
        <is>
          <t>Grupo Gloria</t>
        </is>
      </c>
      <c r="F197" t="inlineStr">
        <is>
          <t>Soporte</t>
        </is>
      </c>
      <c r="G197" t="inlineStr">
        <is>
          <t>Comercial</t>
        </is>
      </c>
      <c r="H197" t="inlineStr">
        <is>
          <t>Observado</t>
        </is>
      </c>
      <c r="I197" t="inlineStr">
        <is>
          <t>Confidencial</t>
        </is>
      </c>
      <c r="J197" t="inlineStr">
        <is>
          <t>Alta</t>
        </is>
      </c>
      <c r="K197" t="inlineStr">
        <is>
          <t>El presente documento corresponde a un oficio emitido por Grupo Gloria, relacionado con alcance comercial, servicio contratado y condiciones de pago. El área responsable es Soporte. Se solicita revisar los antecedentes, validar la información registrada, verificar el estado observado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7" t="inlineStr">
        <is>
          <t>Oficio de Grupo Gloria asociado a alcance comercial y gestionado por Soporte.</t>
        </is>
      </c>
      <c r="M197" t="inlineStr">
        <is>
          <t>Comercial, Oficio, alcance comercial, servicio contratado, condiciones de pago</t>
        </is>
      </c>
      <c r="N197" t="inlineStr">
        <is>
          <t>¿Qué indica el documento DOC-0196 sobre alcance comercial?</t>
        </is>
      </c>
      <c r="O197" t="inlineStr">
        <is>
          <t>El documento DOC-0196 indica que se debe revisar alcance comercial, validar antecedentes y coordinar acciones con el área Soporte.</t>
        </is>
      </c>
      <c r="P197" t="inlineStr">
        <is>
          <t>DOC-0196_Oficio.pdf</t>
        </is>
      </c>
      <c r="Q197" t="inlineStr">
        <is>
          <t>Registro sintético para entrenamiento inicial del agente documental.</t>
        </is>
      </c>
    </row>
    <row r="198">
      <c r="A198" t="inlineStr">
        <is>
          <t>DOC-0197</t>
        </is>
      </c>
      <c r="B198" t="inlineStr">
        <is>
          <t>Acta</t>
        </is>
      </c>
      <c r="C198" t="inlineStr">
        <is>
          <t>Acta sobre archivo - Sunass</t>
        </is>
      </c>
      <c r="D198" s="7" t="n">
        <v>45899</v>
      </c>
      <c r="E198" t="inlineStr">
        <is>
          <t>Sunass</t>
        </is>
      </c>
      <c r="F198" t="inlineStr">
        <is>
          <t>TI</t>
        </is>
      </c>
      <c r="G198" t="inlineStr">
        <is>
          <t>Administrativo</t>
        </is>
      </c>
      <c r="H198" t="inlineStr">
        <is>
          <t>Archivado</t>
        </is>
      </c>
      <c r="I198" t="inlineStr">
        <is>
          <t>Público</t>
        </is>
      </c>
      <c r="J198" t="inlineStr">
        <is>
          <t>Alta</t>
        </is>
      </c>
      <c r="K198" t="inlineStr">
        <is>
          <t>El presente documento corresponde a un acta emitido por Sunass, relacionado con archivo, aprobación y derivación interna. El área responsable es TI. Se solicita revisar los antecedentes, validar la información registrada, verificar el estado archivado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8" t="inlineStr">
        <is>
          <t>Acta de Sunass asociado a archivo y gestionado por TI.</t>
        </is>
      </c>
      <c r="M198" t="inlineStr">
        <is>
          <t>Administrativo, Acta, archivo, aprobación, derivación interna</t>
        </is>
      </c>
      <c r="N198" t="inlineStr">
        <is>
          <t>¿Qué indica el documento DOC-0197 sobre archivo?</t>
        </is>
      </c>
      <c r="O198" t="inlineStr">
        <is>
          <t>El documento DOC-0197 indica que se debe revisar archivo, validar antecedentes y coordinar acciones con el área TI.</t>
        </is>
      </c>
      <c r="P198" t="inlineStr">
        <is>
          <t>DOC-0197_Acta.pdf</t>
        </is>
      </c>
      <c r="Q198" t="inlineStr">
        <is>
          <t>Registro sintético para entrenamiento inicial del agente documental.</t>
        </is>
      </c>
    </row>
    <row r="199">
      <c r="A199" t="inlineStr">
        <is>
          <t>DOC-0198</t>
        </is>
      </c>
      <c r="B199" t="inlineStr">
        <is>
          <t>Contrato</t>
        </is>
      </c>
      <c r="C199" t="inlineStr">
        <is>
          <t>Contrato sobre incidente reportado - Servir</t>
        </is>
      </c>
      <c r="D199" s="7" t="n">
        <v>45734</v>
      </c>
      <c r="E199" t="inlineStr">
        <is>
          <t>Servir</t>
        </is>
      </c>
      <c r="F199" t="inlineStr">
        <is>
          <t>QA</t>
        </is>
      </c>
      <c r="G199" t="inlineStr">
        <is>
          <t>Soporte</t>
        </is>
      </c>
      <c r="H199" t="inlineStr">
        <is>
          <t>Vigente</t>
        </is>
      </c>
      <c r="I199" t="inlineStr">
        <is>
          <t>Interno</t>
        </is>
      </c>
      <c r="J199" t="inlineStr">
        <is>
          <t>Media</t>
        </is>
      </c>
      <c r="K199" t="inlineStr">
        <is>
          <t>El presente documento corresponde a un contrato emitido por Servir, relacionado con incidente reportado, tiempo de atención y cierre de ticket. El área responsable es QA. Se solicita revisar los antecedentes, validar la información registrada, verificar el estado vigente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199" t="inlineStr">
        <is>
          <t>Contrato de Servir asociado a incidente reportado y gestionado por QA.</t>
        </is>
      </c>
      <c r="M199" t="inlineStr">
        <is>
          <t>Soporte, Contrato, incidente reportado, tiempo de atención, cierre de ticket</t>
        </is>
      </c>
      <c r="N199" t="inlineStr">
        <is>
          <t>¿Qué indica el documento DOC-0198 sobre incidente reportado?</t>
        </is>
      </c>
      <c r="O199" t="inlineStr">
        <is>
          <t>El documento DOC-0198 indica que se debe revisar incidente reportado, validar antecedentes y coordinar acciones con el área QA.</t>
        </is>
      </c>
      <c r="P199" t="inlineStr">
        <is>
          <t>DOC-0198_Contrato.pdf</t>
        </is>
      </c>
      <c r="Q199" t="inlineStr">
        <is>
          <t>Registro sintético para entrenamiento inicial del agente documental.</t>
        </is>
      </c>
    </row>
    <row r="200">
      <c r="A200" t="inlineStr">
        <is>
          <t>DOC-0199</t>
        </is>
      </c>
      <c r="B200" t="inlineStr">
        <is>
          <t>Informe Técnico</t>
        </is>
      </c>
      <c r="C200" t="inlineStr">
        <is>
          <t>Informe Técnico sobre condiciones de pago - UTP</t>
        </is>
      </c>
      <c r="D200" s="7" t="n">
        <v>45812</v>
      </c>
      <c r="E200" t="inlineStr">
        <is>
          <t>UTP</t>
        </is>
      </c>
      <c r="F200" t="inlineStr">
        <is>
          <t>Administración</t>
        </is>
      </c>
      <c r="G200" t="inlineStr">
        <is>
          <t>Comercial</t>
        </is>
      </c>
      <c r="H200" t="inlineStr">
        <is>
          <t>Pendiente</t>
        </is>
      </c>
      <c r="I200" t="inlineStr">
        <is>
          <t>Público</t>
        </is>
      </c>
      <c r="J200" t="inlineStr">
        <is>
          <t>Media</t>
        </is>
      </c>
      <c r="K200" t="inlineStr">
        <is>
          <t>El presente documento corresponde a un informe técnico emitido por UTP, relacionado con condiciones de pago, servicio contratado y renovación. El área responsable es Administración.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00" t="inlineStr">
        <is>
          <t>Informe Técnico de UTP asociado a condiciones de pago y gestionado por Administración.</t>
        </is>
      </c>
      <c r="M200" t="inlineStr">
        <is>
          <t>Comercial, Informe Técnico, condiciones de pago, servicio contratado, renovación</t>
        </is>
      </c>
      <c r="N200" t="inlineStr">
        <is>
          <t>¿Qué indica el documento DOC-0199 sobre condiciones de pago?</t>
        </is>
      </c>
      <c r="O200" t="inlineStr">
        <is>
          <t>El documento DOC-0199 indica que se debe revisar condiciones de pago, validar antecedentes y coordinar acciones con el área Administración.</t>
        </is>
      </c>
      <c r="P200" t="inlineStr">
        <is>
          <t>DOC-0199_Informe_Técnico.pdf</t>
        </is>
      </c>
      <c r="Q200" t="inlineStr">
        <is>
          <t>Registro sintético para entrenamiento inicial del agente documental.</t>
        </is>
      </c>
    </row>
    <row r="201">
      <c r="A201" t="inlineStr">
        <is>
          <t>DOC-0200</t>
        </is>
      </c>
      <c r="B201" t="inlineStr">
        <is>
          <t>Oficio</t>
        </is>
      </c>
      <c r="C201" t="inlineStr">
        <is>
          <t>Oficio sobre validación contable - Servir</t>
        </is>
      </c>
      <c r="D201" s="7" t="n">
        <v>46156</v>
      </c>
      <c r="E201" t="inlineStr">
        <is>
          <t>Servir</t>
        </is>
      </c>
      <c r="F201" t="inlineStr">
        <is>
          <t>Operaciones</t>
        </is>
      </c>
      <c r="G201" t="inlineStr">
        <is>
          <t>Financiero</t>
        </is>
      </c>
      <c r="H201" t="inlineStr">
        <is>
          <t>Pendiente</t>
        </is>
      </c>
      <c r="I201" t="inlineStr">
        <is>
          <t>Público</t>
        </is>
      </c>
      <c r="J201" t="inlineStr">
        <is>
          <t>Media</t>
        </is>
      </c>
      <c r="K201" t="inlineStr">
        <is>
          <t>El presente documento corresponde a un oficio emitido por Servir, relacionado con validación contable, monto y facturación. El área responsable es Operaciones. Se solicita revisar los antecedentes, validar la información registrada, verificar el estado pendiente y confirmar las acciones necesarias. El documento contiene información para la gestión documental, consulta posterior, trazabilidad, análisis semántico y soporte a decisiones. Como parte del proceso, se debe identificar responsables, fechas, riesgos, obligaciones y posibles acciones de seguimiento. Este texto está preparado para ser usado por un agente de IA que permita consultar documentos, recuperar información relevante y responder preguntas del usuario con base en el contenido registrado.</t>
        </is>
      </c>
      <c r="L201" t="inlineStr">
        <is>
          <t>Oficio de Servir asociado a validación contable y gestionado por Operaciones.</t>
        </is>
      </c>
      <c r="M201" t="inlineStr">
        <is>
          <t>Financiero, Oficio, validación contable, monto, facturación</t>
        </is>
      </c>
      <c r="N201" t="inlineStr">
        <is>
          <t>¿Qué indica el documento DOC-0200 sobre validación contable?</t>
        </is>
      </c>
      <c r="O201" t="inlineStr">
        <is>
          <t>El documento DOC-0200 indica que se debe revisar validación contable, validar antecedentes y coordinar acciones con el área Operaciones.</t>
        </is>
      </c>
      <c r="P201" t="inlineStr">
        <is>
          <t>DOC-0200_Oficio.pdf</t>
        </is>
      </c>
      <c r="Q201" t="inlineStr">
        <is>
          <t>Registro sintético para entrenamiento inicial del agente documental.</t>
        </is>
      </c>
    </row>
    <row r="202">
      <c r="A202" t="inlineStr">
        <is>
          <t>DOC-0201</t>
        </is>
      </c>
      <c r="B202" t="inlineStr">
        <is>
          <t>Contrato</t>
        </is>
      </c>
      <c r="C202" t="inlineStr">
        <is>
          <t>CONTRATO-SERVICIOS DESARROLLO TI - BTG y TOP 2026</t>
        </is>
      </c>
      <c r="D202" t="inlineStr">
        <is>
          <t>18/05/2026</t>
        </is>
      </c>
      <c r="E202" t="inlineStr"/>
      <c r="F202" t="inlineStr"/>
      <c r="G202" t="inlineStr">
        <is>
          <t>Documental</t>
        </is>
      </c>
      <c r="H202" t="inlineStr">
        <is>
          <t>Pendiente</t>
        </is>
      </c>
      <c r="I202" t="inlineStr">
        <is>
          <t>Interno</t>
        </is>
      </c>
      <c r="J202" t="inlineStr">
        <is>
          <t>Baja</t>
        </is>
      </c>
      <c r="K202" t="inlineStr">
        <is>
          <t xml:space="preserve">CONTRATO DE PRESTACIONES DE SERVICIOS
Conste por el presente documento el Contrato de Prestación Servicios según Decreto Legislativo N°
25632, de una parte, TOPSTRATEGIC S.A.C, con RUC N° 20516818353, debidamente representada
por su Gerente General, Señora Maria Karelia Yepez Azparren, identificada con DNI Nº 47874682 con
poderes inscritos en el Registro de Personas Jurídicas de Lima, a quien en adelante se le denominará
“EL CLIENTE”, y de la otra parte, Señora Jandyra Pilar Villanueva Panduro, con DNI 431447667 en
representación de la empresa BTG S.A.C. con RUC 20511469997, con domicilio en Jr. Huarmey 1224 –
Urb. Covida- Los Olivos Lima, a quien en adelante se le denominará “EL PROVEEDOR”, en los
términos y condiciones siguientes:
CLAUSULA PRIMERA - ANTECEDENTES:
El CLIENTE, requiere contratar los servicios de una empresa privada que realice labores de desarrollo e
innovación tecnológica, para la actualización de sus Soluciones Tecnológicas, lo cual constituye una
obligación de hacer de conformidad al artículo 1148 del Código Civil, el cual debidamente suscrito por las
partes forma parte integrante del presente contrato.
CLAUSULA SEGUNDA - OBJETO DEL CONTRATO:
El PROVEEDOR, sin mantener vínculo alguno de subordinación ni dependencia con el CLIENTE, en su
condición de empresa especializada en el análisis y desarrollo de software de aplicaciones, quien
prestará sus servicios bajo un régimen No Fiscalizable, se obliga a prestarle sus servicios profesionales
en el proyecto de implementación y/o upgrade de nuevas tecnologías informáticas, para la Solución de
Liquidación Bruta a Tiempo Real – LBTR - 1RA Fase.
Dichas mejoras se detallan en el ANEXO 1 – que forma parte del presente contrato.
CLAUSULA TERCERA - RETRIBUCIONES Y FORMA DE PAGO:
El CLIENTE pagará al PROVEEDOR, como contraprestación por la totalidad de sus servicios según
avances, el monto es de USD. 41,768.06 - (Cuarenta y Un Mil Setecientos Sesenta y Ocho con 06/100
dólares americanos) incluido el Impuesto General a las Ventas, previa conformidad del trabajo realizado
en términos de resultados (calidad, puntualidad y resultados planificados), en el plazo de duración del
proyecto, la misma que le será abonada conforme al avance de los servicios prestados.
CLAUSULA CUARTA – PLAZO DEL CONTRATO
El plazo del presente contrato será por el periodo de dos (2) meses calendarios, contado a partir de la
fecha de firma del contrato. En caso de no terminarse la prestación del servicio en el plazo estipulado,
las partes convienen que tal plazo podrá renovarse de común acuerdo para lo cual deberán
necesariamente suscribir por escrito tal renovación.
CLAUSULA QUINTA
El PROVEEDOR prestará sus servicios en los horarios que estime conveniente, coordinando los tiempos
de disponibilidad de equipos tecnológicos y del equipo de los usuarios participantes en el proyecto para
efectos de pruebas y de ajuste de requerimientos funcionales, en el ámbito de los alcances y objetivos
del proyecto.
CLAUSULA SEXTA
El servicio que prestará el PROVEEDOR al CLIENTE, serán de carácter personalísimo, pero puede
valerse, bajo su propia dirección y responsabilidad de auxiliares y sustitutos para prestar tales servicios.
El PROVEEDOR deberá respetar el CONVENIO DE CONFIDENCIALIDAD y PROTECCION DE DATOS
PERSONALES, reconociendo que su incumplimiento constituye falta grave de orden laboral, dándose a
lugar la imposición de sanciones que irán desde la simple amonestación hasta el despido, sin perjuicio
de las acciones civiles o penales a que haya a lugar.
CLAUSULA SEPTIMA – RESOLUCION DE CONTRATO
EL CLIENTE podrá resolver el contrato en caso de incumplimiento de alguna de las responsabilidades u
obligaciones establecidas en el momento de la contratación por parte de EL PROVEEDOR o por
Culminación exitosa del Proyecto sin previo aviso por parte del CLIENTE.
El PROVEEDOR, si deseara culminar anticipadamente el contrato por voluntad propia, se obliga a avisar
de esta voluntad, mediante notificación escrita, con una anticipación no menor de 30 días calendarios.
CLAUSULA OCTAVA - IMPUESTOS:
EL CLIENTE detraerá un porcentaje del monto total de la operación por la venta de ciertos bienes y/o
servicios conforme a Resolución Superintendencia 071-2018/SUNAT, estos son depositados en una
cuenta especial en el Banco de la Nación a nombre del proveedor o prestador del servicio, estos fondos
serán utilizados para el pago de deudas tributarias administradas y/o recaudadas por la SUNAT.
CLAUSULA NOVENA – OBLIGACIONES DE LAS PARTES
El PROVEEDOR se obliga a prestar sus servicios a satisfacción del CLIENTE, con profesionalismo
asumiendo la responsabilidad sobre los trabajos que ejecutará. Asimismo, se compromete a asistir a las
oficinas del CLIENTE en las oportunidades que sea necesario, teniéndose en cuenta que los servicios
que prestará serán predominantemente intelectuales.
Por su parte el CLIENTE se obliga a proporcionar al PROVEEDOR las facilidades necesarias para la
prestación de sus servicios, así como el pago de su retribución en la forma que se ha convenido y que se
indican en el ANEXO 1, que forma parte del presente contrato, siempre y cuando el PROVEEDOR haya
terminado las actividades encargadas y sus resultados sean satisfactorios para el CLIENTE.
CLAUSULA DECIMA – PENALIDAD
El PROVEEDOR, deberá cumplir con su prestación de servicios a cabalidad hasta la finalización del
presente contrato. En caso el PROVEEDOR desee finalizar el contrato antes de su vencimiento deberá
dirigir una carta al CLIENTE notificando su deseo de no continuar su relación contractual, con una
anticipación de 30 días hábiles, de lo contrario se le aplicara una penalidad y se le descontará el 20% del
pago por su contraprestación.
CLAUSULA DECIMA PRIMERA - JURISDICCION:
Ambas partes señalan como sus domicilios los que figuran en la introducción de contrato, obligándose en
caso de variarlo, a hacerlo conocer a la otra parte por escrito en el plazo máximo de 07 (siete) días
naturales, de lo contrario se tendrán por bien hecha cualquier comunicación ó notificación que una parte
remita a la otra, o la que haga la autoridad competente:
Asimismo, ambas partes se someten a los Jueces del Distrito Judicial de Lima, para cualquier asunto
que se derive del presente contrato.
Enterados de su contenido y en señal de su conformidad, las partes suscriben el presente contrato en un
ejemplar a los nueve días del mes de mayo del 2026.
EL CLIENTE EL PROVEEDOR
BTG SAC
Jandyra Villanueva Panduro
Notificaciones: jvillanueva@btg.com
ANEXO 1
ALCANCES DE LAS MEJORAS AL SISTEMA DE LIQUIDACION BRUTA A TIEMPO REAL - LBTR
1. Implementar la versión LBTR 2.0 con las mejoras tecnológicas basadas en Micro
Servicios.
2. Implementar un sistema que permita consumir los servicios ofrecidos por el BCRP como
parte del proyecto de modernización del sistema LBTR. Dichos servicios permitirán
contar con un canal para la gestión de cuentas corrientes que el CLIENTE mantiene en
el BCRP.
3. Eliminar la digitación de datos recurrentes en las instrucciones de transferencia que
actualmente son ingresadas por el asistente de backoffice al momento de cada
operación (cuenta corriente matriz, cuenta interbancaria, etc.).
4. Implementar los mismos niveles de autorización disponibles en el actual cliente LBTR
en el nuevo sistema LBTR.
5. Facilitar el ingreso de instrucciones de transferencias en el nuevo sistema LBTR,
mediante el enlace de operaciones ingresadas en los sistemas Operativo del negocio
cuyo registro o cancelación este asociado a la transferencia de fondos a través de las
cuentas matrices del CLIENTE en el BCRP.
Asimismo, los desembolsos de parte de EL CLIENTE para EL PROVEEDOR se realizarán según
avances y de acuerdo al siguiente calendario:
Entregable Fecha Presentación Importe en USD Condición de Pago
Revisión, y Análisis 18/05/2026 USD 18,888.06 Presentación y
del Sistema LBTR Aprobación de Informe
Implementación de 30/05/2026 USD 11,440.00 Presentación y
Micro Servicios Fase 1 Aprobación del Código
fuente actualizado
Implementación de 15/06/2025 USD 11,440.00 Presentación y
Micro Servicios Fase 2 Aprobación del Código
fuente actualizado
Estos importes incluyen IGV
Enterados de su contenido y en señal de su conformidad, las partes suscriben el presente
contrato en un ejemplar a los nueve días del mes de mayo del 2026
EL PROVEEDOR
EL CLIENTE
BTG SAC
Jandyra Villanueva Panduro
Notificaciones: jvillanueva@btg.com
</t>
        </is>
      </c>
      <c r="L202" t="inlineStr">
        <is>
          <t>CONTRATO DE PRESTACIONES DE SERVICIOS Conste por el presente documento el Contrato de Prestación Servicios según Decreto Legislativo N° 25632, de una parte, TOPSTRATEGIC S.A.C, con RUC N° 20516818353, debidamente representada por su Gerente General, ...</t>
        </is>
      </c>
      <c r="M202" t="inlineStr"/>
      <c r="N202" t="inlineStr">
        <is>
          <t>¿Qué indica el documento DOC-0201?</t>
        </is>
      </c>
      <c r="O202" t="inlineStr">
        <is>
          <t>CONTRATO DE PRESTACIONES DE SERVICIOS Conste por el presente documento el Contrato de Prestación Servicios según Decreto Legislativo N° 25632, de una parte, TOPSTRATEGIC S.A.C, con RUC N° 20516818353, debidamente representada por su Gerente General, Señora Maria Karelia Yepez Azparren, identificada con DNI Nº 47874682 con poderes inscritos en el Re...</t>
        </is>
      </c>
      <c r="P202" t="inlineStr">
        <is>
          <t>CONTRATO-SERVICIOS DESARROLLO TI - BTG y TOP 2026.pdf</t>
        </is>
      </c>
      <c r="Q202" t="inlineStr">
        <is>
          <t>Tipificado automáticamente con método: Regla fuerte contractual. Confianza: 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10" defaultColWidth="8.6640625" defaultRowHeight="14"/>
  <cols>
    <col width="22" customWidth="1" min="1" max="6"/>
  </cols>
  <sheetData>
    <row r="1">
      <c r="A1" s="1" t="inlineStr">
        <is>
          <t>tipo_documento</t>
        </is>
      </c>
      <c r="B1" s="1" t="inlineStr">
        <is>
          <t>categoria</t>
        </is>
      </c>
      <c r="C1" s="1" t="inlineStr">
        <is>
          <t>estado</t>
        </is>
      </c>
      <c r="D1" s="1" t="inlineStr">
        <is>
          <t>nivel_confidencialidad</t>
        </is>
      </c>
      <c r="E1" s="1" t="inlineStr">
        <is>
          <t>prioridad</t>
        </is>
      </c>
      <c r="F1" s="1" t="inlineStr">
        <is>
          <t>area_responsable</t>
        </is>
      </c>
    </row>
    <row r="2">
      <c r="A2" t="inlineStr">
        <is>
          <t>Contrato</t>
        </is>
      </c>
      <c r="B2" t="inlineStr">
        <is>
          <t>Legal</t>
        </is>
      </c>
      <c r="C2" t="inlineStr">
        <is>
          <t>Vigente</t>
        </is>
      </c>
      <c r="D2" t="inlineStr">
        <is>
          <t>Público</t>
        </is>
      </c>
      <c r="E2" t="inlineStr">
        <is>
          <t>Baja</t>
        </is>
      </c>
      <c r="F2" t="inlineStr">
        <is>
          <t>Mesa de Partes</t>
        </is>
      </c>
    </row>
    <row r="3">
      <c r="A3" t="inlineStr">
        <is>
          <t>Oficio</t>
        </is>
      </c>
      <c r="B3" t="inlineStr">
        <is>
          <t>Comercial</t>
        </is>
      </c>
      <c r="C3" t="inlineStr">
        <is>
          <t>Archivado</t>
        </is>
      </c>
      <c r="D3" t="inlineStr">
        <is>
          <t>Interno</t>
        </is>
      </c>
      <c r="E3" t="inlineStr">
        <is>
          <t>Media</t>
        </is>
      </c>
      <c r="F3" t="inlineStr">
        <is>
          <t>Legal</t>
        </is>
      </c>
    </row>
    <row r="4">
      <c r="A4" t="inlineStr">
        <is>
          <t>Informe Técnico</t>
        </is>
      </c>
      <c r="B4" t="inlineStr">
        <is>
          <t>Técnico</t>
        </is>
      </c>
      <c r="C4" t="inlineStr">
        <is>
          <t>Pendiente</t>
        </is>
      </c>
      <c r="D4" t="inlineStr">
        <is>
          <t>Confidencial</t>
        </is>
      </c>
      <c r="E4" t="inlineStr">
        <is>
          <t>Alta</t>
        </is>
      </c>
      <c r="F4" t="inlineStr">
        <is>
          <t>TI</t>
        </is>
      </c>
    </row>
    <row r="5">
      <c r="A5" t="inlineStr">
        <is>
          <t>Carta</t>
        </is>
      </c>
      <c r="B5" t="inlineStr">
        <is>
          <t>Administrativo</t>
        </is>
      </c>
      <c r="C5" t="inlineStr">
        <is>
          <t>Observado</t>
        </is>
      </c>
      <c r="E5" t="inlineStr">
        <is>
          <t>Crítica</t>
        </is>
      </c>
      <c r="F5" t="inlineStr">
        <is>
          <t>Operaciones</t>
        </is>
      </c>
    </row>
    <row r="6">
      <c r="A6" t="inlineStr">
        <is>
          <t>Acta</t>
        </is>
      </c>
      <c r="B6" t="inlineStr">
        <is>
          <t>Operaciones</t>
        </is>
      </c>
      <c r="C6" t="inlineStr">
        <is>
          <t>En revisión</t>
        </is>
      </c>
      <c r="F6" t="inlineStr">
        <is>
          <t>Comercial</t>
        </is>
      </c>
    </row>
    <row r="7">
      <c r="A7" t="inlineStr">
        <is>
          <t>Resolución</t>
        </is>
      </c>
      <c r="B7" t="inlineStr">
        <is>
          <t>Financiero</t>
        </is>
      </c>
      <c r="F7" t="inlineStr">
        <is>
          <t>Soporte</t>
        </is>
      </c>
    </row>
    <row r="8">
      <c r="A8" t="inlineStr">
        <is>
          <t>Solicitud</t>
        </is>
      </c>
      <c r="B8" t="inlineStr">
        <is>
          <t>Soporte</t>
        </is>
      </c>
      <c r="F8" t="inlineStr">
        <is>
          <t>Gestión Documental</t>
        </is>
      </c>
    </row>
    <row r="9">
      <c r="A9" t="inlineStr">
        <is>
          <t>Memorando</t>
        </is>
      </c>
      <c r="B9" t="inlineStr">
        <is>
          <t>Gestión Documental</t>
        </is>
      </c>
      <c r="F9" t="inlineStr">
        <is>
          <t>Administración</t>
        </is>
      </c>
    </row>
    <row r="10">
      <c r="A10" t="inlineStr">
        <is>
          <t>Expediente</t>
        </is>
      </c>
      <c r="F10" t="inlineStr">
        <is>
          <t>QA</t>
        </is>
      </c>
    </row>
    <row r="11">
      <c r="A11" t="inlineStr">
        <is>
          <t>Reclamo</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10" defaultColWidth="8.6640625" defaultRowHeight="14"/>
  <cols>
    <col width="24" customWidth="1" min="1" max="1"/>
    <col width="70" customWidth="1" min="2" max="2"/>
    <col width="35" customWidth="1" min="3" max="3"/>
  </cols>
  <sheetData>
    <row r="1">
      <c r="A1" s="1" t="inlineStr">
        <is>
          <t>Campo</t>
        </is>
      </c>
      <c r="B1" s="1" t="inlineStr">
        <is>
          <t>Descripción</t>
        </is>
      </c>
      <c r="C1" s="1" t="inlineStr">
        <is>
          <t>Ejemplo</t>
        </is>
      </c>
    </row>
    <row r="2">
      <c r="A2" t="inlineStr">
        <is>
          <t>documento_id</t>
        </is>
      </c>
      <c r="B2" t="inlineStr">
        <is>
          <t>Código único del documento.</t>
        </is>
      </c>
      <c r="C2" t="inlineStr">
        <is>
          <t>DOC-0001</t>
        </is>
      </c>
    </row>
    <row r="3">
      <c r="A3" t="inlineStr">
        <is>
          <t>tipo_documento</t>
        </is>
      </c>
      <c r="B3" t="inlineStr">
        <is>
          <t>Tipo documental para clasificar y filtrar.</t>
        </is>
      </c>
      <c r="C3" t="inlineStr">
        <is>
          <t>Contrato</t>
        </is>
      </c>
    </row>
    <row r="4">
      <c r="A4" t="inlineStr">
        <is>
          <t>titulo_documento</t>
        </is>
      </c>
      <c r="B4" t="inlineStr">
        <is>
          <t>Título corto del documento.</t>
        </is>
      </c>
      <c r="C4" t="inlineStr">
        <is>
          <t>Contrato sobre SLA - Cliente</t>
        </is>
      </c>
    </row>
    <row r="5">
      <c r="A5" t="inlineStr">
        <is>
          <t>fecha_documento</t>
        </is>
      </c>
      <c r="B5" t="inlineStr">
        <is>
          <t>Fecha de emisión o registro.</t>
        </is>
      </c>
      <c r="C5" t="inlineStr">
        <is>
          <t>2025-10-15</t>
        </is>
      </c>
    </row>
    <row r="6">
      <c r="A6" t="inlineStr">
        <is>
          <t>entidad_origen</t>
        </is>
      </c>
      <c r="B6" t="inlineStr">
        <is>
          <t>Cliente, institución o área que origina el documento.</t>
        </is>
      </c>
      <c r="C6" t="inlineStr">
        <is>
          <t>Luz del Sur</t>
        </is>
      </c>
    </row>
    <row r="7">
      <c r="A7" t="inlineStr">
        <is>
          <t>area_responsable</t>
        </is>
      </c>
      <c r="B7" t="inlineStr">
        <is>
          <t>Área que debe atender o consultar el documento.</t>
        </is>
      </c>
      <c r="C7" t="inlineStr">
        <is>
          <t>Legal</t>
        </is>
      </c>
    </row>
    <row r="8">
      <c r="A8" t="inlineStr">
        <is>
          <t>categoria</t>
        </is>
      </c>
      <c r="B8" t="inlineStr">
        <is>
          <t>Macroclasificación del contenido.</t>
        </is>
      </c>
      <c r="C8" t="inlineStr">
        <is>
          <t>Gestión Documental</t>
        </is>
      </c>
    </row>
    <row r="9">
      <c r="A9" t="inlineStr">
        <is>
          <t>estado</t>
        </is>
      </c>
      <c r="B9" t="inlineStr">
        <is>
          <t>Estado documental o de atención.</t>
        </is>
      </c>
      <c r="C9" t="inlineStr">
        <is>
          <t>Vigente</t>
        </is>
      </c>
    </row>
    <row r="10">
      <c r="A10" t="inlineStr">
        <is>
          <t>nivel_confidencialidad</t>
        </is>
      </c>
      <c r="B10" t="inlineStr">
        <is>
          <t>Nivel de acceso o sensibilidad.</t>
        </is>
      </c>
      <c r="C10" t="inlineStr">
        <is>
          <t>Interno</t>
        </is>
      </c>
    </row>
    <row r="11">
      <c r="A11" t="inlineStr">
        <is>
          <t>prioridad</t>
        </is>
      </c>
      <c r="B11" t="inlineStr">
        <is>
          <t>Prioridad de revisión o atención.</t>
        </is>
      </c>
      <c r="C11" t="inlineStr">
        <is>
          <t>Alta</t>
        </is>
      </c>
    </row>
    <row r="12">
      <c r="A12" t="inlineStr">
        <is>
          <t>texto_documento</t>
        </is>
      </c>
      <c r="B12" t="inlineStr">
        <is>
          <t>Contenido completo extraído del documento. Es el campo principal para embeddings y búsqueda semántica.</t>
        </is>
      </c>
      <c r="C12" t="inlineStr">
        <is>
          <t>Texto completo...</t>
        </is>
      </c>
    </row>
    <row r="13">
      <c r="A13" t="inlineStr">
        <is>
          <t>resumen_documento</t>
        </is>
      </c>
      <c r="B13" t="inlineStr">
        <is>
          <t>Resumen generado o escrito manualmente.</t>
        </is>
      </c>
      <c r="C13" t="inlineStr">
        <is>
          <t>Documento asociado a...</t>
        </is>
      </c>
    </row>
    <row r="14">
      <c r="A14" t="inlineStr">
        <is>
          <t>palabras_clave</t>
        </is>
      </c>
      <c r="B14" t="inlineStr">
        <is>
          <t>Términos clave para búsqueda híbrida.</t>
        </is>
      </c>
      <c r="C14" t="inlineStr">
        <is>
          <t>SLA, contrato, seguimiento</t>
        </is>
      </c>
    </row>
    <row r="15">
      <c r="A15" t="inlineStr">
        <is>
          <t>pregunta_ejemplo</t>
        </is>
      </c>
      <c r="B15" t="inlineStr">
        <is>
          <t>Pregunta posible para probar el agente.</t>
        </is>
      </c>
      <c r="C15" t="inlineStr">
        <is>
          <t>¿Qué indica el documento...?</t>
        </is>
      </c>
    </row>
    <row r="16">
      <c r="A16" t="inlineStr">
        <is>
          <t>respuesta_esperada</t>
        </is>
      </c>
      <c r="B16" t="inlineStr">
        <is>
          <t>Respuesta ideal de referencia.</t>
        </is>
      </c>
      <c r="C16" t="inlineStr">
        <is>
          <t>El documento indica que...</t>
        </is>
      </c>
    </row>
    <row r="17">
      <c r="A17" t="inlineStr">
        <is>
          <t>fuente_archivo</t>
        </is>
      </c>
      <c r="B17" t="inlineStr">
        <is>
          <t>Nombre del archivo original.</t>
        </is>
      </c>
      <c r="C17" t="inlineStr">
        <is>
          <t>DOC-0001.pdf</t>
        </is>
      </c>
    </row>
    <row r="18">
      <c r="A18" t="inlineStr">
        <is>
          <t>observaciones</t>
        </is>
      </c>
      <c r="B18" t="inlineStr">
        <is>
          <t>Notas de control o calidad del registro.</t>
        </is>
      </c>
      <c r="C18" t="inlineStr">
        <is>
          <t>Registro inicial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D1"/>
    </sheetView>
  </sheetViews>
  <sheetFormatPr baseColWidth="10" defaultColWidth="8.6640625" defaultRowHeight="14"/>
  <cols>
    <col width="28" customWidth="1" min="1" max="4"/>
  </cols>
  <sheetData>
    <row r="1" ht="18" customHeight="1">
      <c r="A1" s="4" t="inlineStr">
        <is>
          <t>Resumen del Dataset Documental</t>
        </is>
      </c>
    </row>
    <row r="3" ht="42" customHeight="1">
      <c r="A3" s="1" t="inlineStr">
        <is>
          <t>Métrica</t>
        </is>
      </c>
      <c r="B3" s="1" t="inlineStr">
        <is>
          <t>Valor</t>
        </is>
      </c>
      <c r="C3" s="1" t="n"/>
      <c r="D3" s="1" t="n"/>
      <c r="F3" s="1" t="inlineStr">
        <is>
          <t>Categoría</t>
        </is>
      </c>
      <c r="G3" s="1" t="inlineStr">
        <is>
          <t>Cantidad</t>
        </is>
      </c>
      <c r="I3" s="1" t="inlineStr">
        <is>
          <t>Tipo documento</t>
        </is>
      </c>
      <c r="J3" s="1" t="inlineStr">
        <is>
          <t>Cantidad</t>
        </is>
      </c>
    </row>
    <row r="4">
      <c r="A4" t="inlineStr">
        <is>
          <t>Total documentos</t>
        </is>
      </c>
      <c r="B4">
        <f>COUNTA(Dataset_Documentos!A2:A201)</f>
        <v/>
      </c>
      <c r="F4" t="inlineStr">
        <is>
          <t>Legal</t>
        </is>
      </c>
      <c r="G4">
        <f>COUNTIF(Dataset_Documentos!G2:G201,"Legal")</f>
        <v/>
      </c>
      <c r="I4" t="inlineStr">
        <is>
          <t>Contrato</t>
        </is>
      </c>
      <c r="J4">
        <f>COUNTIF(Dataset_Documentos!B2:B201,"Contrato")</f>
        <v/>
      </c>
    </row>
    <row r="5">
      <c r="A5" t="inlineStr">
        <is>
          <t>Documentos vigentes</t>
        </is>
      </c>
      <c r="B5">
        <f>COUNTIF(Dataset_Documentos!H2:H201,"Vigente")</f>
        <v/>
      </c>
      <c r="F5" t="inlineStr">
        <is>
          <t>Comercial</t>
        </is>
      </c>
      <c r="G5">
        <f>COUNTIF(Dataset_Documentos!G2:G201,"Comercial")</f>
        <v/>
      </c>
      <c r="I5" t="inlineStr">
        <is>
          <t>Oficio</t>
        </is>
      </c>
      <c r="J5">
        <f>COUNTIF(Dataset_Documentos!B2:B201,"Oficio")</f>
        <v/>
      </c>
    </row>
    <row r="6">
      <c r="A6" t="inlineStr">
        <is>
          <t>Documentos pendientes</t>
        </is>
      </c>
      <c r="B6">
        <f>COUNTIF(Dataset_Documentos!H2:H201,"Pendiente")</f>
        <v/>
      </c>
      <c r="F6" t="inlineStr">
        <is>
          <t>Técnico</t>
        </is>
      </c>
      <c r="G6">
        <f>COUNTIF(Dataset_Documentos!G2:G201,"Técnico")</f>
        <v/>
      </c>
      <c r="I6" t="inlineStr">
        <is>
          <t>Informe Técnico</t>
        </is>
      </c>
      <c r="J6">
        <f>COUNTIF(Dataset_Documentos!B2:B201,"Informe Técnico")</f>
        <v/>
      </c>
    </row>
    <row r="7">
      <c r="A7" t="inlineStr">
        <is>
          <t>Documentos críticos</t>
        </is>
      </c>
      <c r="B7">
        <f>COUNTIF(Dataset_Documentos!J2:J201,"Crítica")</f>
        <v/>
      </c>
      <c r="F7" t="inlineStr">
        <is>
          <t>Administrativo</t>
        </is>
      </c>
      <c r="G7">
        <f>COUNTIF(Dataset_Documentos!G2:G201,"Administrativo")</f>
        <v/>
      </c>
      <c r="I7" t="inlineStr">
        <is>
          <t>Carta</t>
        </is>
      </c>
      <c r="J7">
        <f>COUNTIF(Dataset_Documentos!B2:B201,"Carta")</f>
        <v/>
      </c>
    </row>
    <row r="8">
      <c r="A8" t="inlineStr">
        <is>
          <t>Campo principal para IA</t>
        </is>
      </c>
      <c r="B8" t="inlineStr">
        <is>
          <t>texto_documento</t>
        </is>
      </c>
      <c r="F8" t="inlineStr">
        <is>
          <t>Operaciones</t>
        </is>
      </c>
      <c r="G8">
        <f>COUNTIF(Dataset_Documentos!G2:G201,"Operaciones")</f>
        <v/>
      </c>
      <c r="I8" t="inlineStr">
        <is>
          <t>Acta</t>
        </is>
      </c>
      <c r="J8">
        <f>COUNTIF(Dataset_Documentos!B2:B201,"Acta")</f>
        <v/>
      </c>
    </row>
    <row r="9">
      <c r="F9" t="inlineStr">
        <is>
          <t>Financiero</t>
        </is>
      </c>
      <c r="G9">
        <f>COUNTIF(Dataset_Documentos!G2:G201,"Financiero")</f>
        <v/>
      </c>
      <c r="I9" t="inlineStr">
        <is>
          <t>Resolución</t>
        </is>
      </c>
      <c r="J9">
        <f>COUNTIF(Dataset_Documentos!B2:B201,"Resolución")</f>
        <v/>
      </c>
    </row>
    <row r="10">
      <c r="F10" t="inlineStr">
        <is>
          <t>Soporte</t>
        </is>
      </c>
      <c r="G10">
        <f>COUNTIF(Dataset_Documentos!G2:G201,"Soporte")</f>
        <v/>
      </c>
      <c r="I10" t="inlineStr">
        <is>
          <t>Solicitud</t>
        </is>
      </c>
      <c r="J10">
        <f>COUNTIF(Dataset_Documentos!B2:B201,"Solicitud")</f>
        <v/>
      </c>
    </row>
    <row r="11">
      <c r="F11" t="inlineStr">
        <is>
          <t>Gestión Documental</t>
        </is>
      </c>
      <c r="G11">
        <f>COUNTIF(Dataset_Documentos!G2:G201,"Gestión Documental")</f>
        <v/>
      </c>
      <c r="I11" t="inlineStr">
        <is>
          <t>Memorando</t>
        </is>
      </c>
      <c r="J11">
        <f>COUNTIF(Dataset_Documentos!B2:B201,"Memorando")</f>
        <v/>
      </c>
    </row>
    <row r="12">
      <c r="I12" t="inlineStr">
        <is>
          <t>Expediente</t>
        </is>
      </c>
      <c r="J12">
        <f>COUNTIF(Dataset_Documentos!B2:B201,"Expediente")</f>
        <v/>
      </c>
    </row>
    <row r="13">
      <c r="I13" t="inlineStr">
        <is>
          <t>Reclamo</t>
        </is>
      </c>
      <c r="J13">
        <f>COUNTIF(Dataset_Documentos!B2:B201,"Reclamo")</f>
        <v/>
      </c>
    </row>
  </sheetData>
  <mergeCells count="1">
    <mergeCell ref="A1:D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2026-06-17T04:11:07Z</dcterms:created>
  <dcterms:modified xmlns:dcterms="http://purl.org/dc/terms/" xmlns:xsi="http://www.w3.org/2001/XMLSchema-instance" xsi:type="dcterms:W3CDTF">2026-06-17T04:37:42Z</dcterms:modified>
  <cp:lastModifiedBy>Emilio Ortiz</cp:lastModifiedBy>
</cp:coreProperties>
</file>